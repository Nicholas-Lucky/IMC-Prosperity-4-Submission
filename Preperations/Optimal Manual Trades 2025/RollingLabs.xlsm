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arlT\OneDrive\Desktop\Working Folder\Prosperity\Round 4\"/>
    </mc:Choice>
  </mc:AlternateContent>
  <xr:revisionPtr revIDLastSave="0" documentId="13_ncr:1_{B12258EA-6FBE-4BCC-805A-D0E84AAF499C}" xr6:coauthVersionLast="47" xr6:coauthVersionMax="47" xr10:uidLastSave="{00000000-0000-0000-0000-000000000000}"/>
  <bookViews>
    <workbookView xWindow="28680" yWindow="-45" windowWidth="29040" windowHeight="15720" activeTab="1" xr2:uid="{F9EC9206-6A9D-4187-870D-CEF26F02E84B}"/>
  </bookViews>
  <sheets>
    <sheet name="Sheet1" sheetId="1" r:id="rId1"/>
    <sheet name="Interpret" sheetId="2" r:id="rId2"/>
  </sheets>
  <definedNames>
    <definedName name="_xlnm._FilterDatabase" localSheetId="1" hidden="1">Interpret!$AG$1:$AN$21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2" l="1"/>
  <c r="M2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" i="2"/>
  <c r="S2" i="2"/>
  <c r="AK3" i="2"/>
  <c r="AK2" i="2"/>
  <c r="AK5" i="2"/>
  <c r="AK4" i="2"/>
  <c r="AK18" i="2"/>
  <c r="AK7" i="2"/>
  <c r="AK20" i="2"/>
  <c r="AK8" i="2"/>
  <c r="AK10" i="2"/>
  <c r="AK19" i="2"/>
  <c r="AK14" i="2"/>
  <c r="AK13" i="2"/>
  <c r="AK12" i="2"/>
  <c r="AK16" i="2"/>
  <c r="AK21" i="2"/>
  <c r="AK9" i="2"/>
  <c r="AK11" i="2"/>
  <c r="AK6" i="2"/>
  <c r="AK17" i="2"/>
  <c r="AK15" i="2"/>
  <c r="V24" i="2"/>
  <c r="S11" i="2"/>
  <c r="S8" i="2"/>
  <c r="S9" i="2"/>
  <c r="S5" i="2"/>
  <c r="S14" i="2"/>
  <c r="S21" i="2"/>
  <c r="S15" i="2"/>
  <c r="S3" i="2"/>
  <c r="S17" i="2"/>
  <c r="S16" i="2"/>
  <c r="S12" i="2"/>
  <c r="S20" i="2"/>
  <c r="S19" i="2"/>
  <c r="S10" i="2"/>
  <c r="S4" i="2"/>
  <c r="S18" i="2"/>
  <c r="S6" i="2"/>
  <c r="S13" i="2"/>
  <c r="S7" i="2"/>
  <c r="AM5" i="2"/>
  <c r="AM11" i="2"/>
  <c r="AM18" i="2"/>
  <c r="AM13" i="2"/>
  <c r="AM9" i="2"/>
  <c r="AM8" i="2"/>
  <c r="AM10" i="2"/>
  <c r="AM17" i="2"/>
  <c r="AM20" i="2"/>
  <c r="AM21" i="2"/>
  <c r="AM6" i="2"/>
  <c r="AM16" i="2"/>
  <c r="AM19" i="2"/>
  <c r="AM15" i="2"/>
  <c r="AM3" i="2"/>
  <c r="AM14" i="2"/>
  <c r="AM2" i="2"/>
  <c r="AM4" i="2"/>
  <c r="AM12" i="2"/>
  <c r="AM7" i="2"/>
  <c r="AB19" i="2"/>
  <c r="AB5" i="2"/>
  <c r="AB7" i="2"/>
  <c r="AB3" i="2"/>
  <c r="AB10" i="2"/>
  <c r="AB9" i="2"/>
  <c r="AB6" i="2"/>
  <c r="AB16" i="2"/>
  <c r="AB11" i="2"/>
  <c r="AB14" i="2"/>
  <c r="AB17" i="2"/>
  <c r="AB2" i="2"/>
  <c r="AB20" i="2"/>
  <c r="AB15" i="2"/>
  <c r="AB18" i="2"/>
  <c r="AB4" i="2"/>
  <c r="AB12" i="2"/>
  <c r="AB13" i="2"/>
  <c r="AB8" i="2"/>
  <c r="I14" i="2"/>
  <c r="E2" i="2"/>
  <c r="AD3" i="2"/>
  <c r="AD16" i="2"/>
  <c r="AD10" i="2"/>
  <c r="AD9" i="2"/>
  <c r="AD21" i="2"/>
  <c r="AD17" i="2"/>
  <c r="AD8" i="2"/>
  <c r="AD2" i="2"/>
  <c r="AD19" i="2"/>
  <c r="AD15" i="2"/>
  <c r="AD20" i="2"/>
  <c r="AD11" i="2"/>
  <c r="AD13" i="2"/>
  <c r="AD12" i="2"/>
  <c r="AD4" i="2"/>
  <c r="AD6" i="2"/>
  <c r="AD5" i="2"/>
  <c r="AD18" i="2"/>
  <c r="AD7" i="2"/>
  <c r="AD14" i="2"/>
  <c r="AB21" i="2"/>
  <c r="U11" i="2"/>
  <c r="U8" i="2"/>
  <c r="U9" i="2"/>
  <c r="U5" i="2"/>
  <c r="U14" i="2"/>
  <c r="U21" i="2"/>
  <c r="U15" i="2"/>
  <c r="U3" i="2"/>
  <c r="U17" i="2"/>
  <c r="U16" i="2"/>
  <c r="U12" i="2"/>
  <c r="U2" i="2"/>
  <c r="U20" i="2"/>
  <c r="U19" i="2"/>
  <c r="U10" i="2"/>
  <c r="U4" i="2"/>
  <c r="U18" i="2"/>
  <c r="U6" i="2"/>
  <c r="U13" i="2"/>
  <c r="U7" i="2"/>
  <c r="I21" i="2"/>
  <c r="E21" i="2"/>
  <c r="I20" i="2"/>
  <c r="E20" i="2"/>
  <c r="I19" i="2"/>
  <c r="E19" i="2"/>
  <c r="I18" i="2"/>
  <c r="E18" i="2"/>
  <c r="I17" i="2"/>
  <c r="E17" i="2"/>
  <c r="I16" i="2"/>
  <c r="E16" i="2"/>
  <c r="I15" i="2"/>
  <c r="E15" i="2"/>
  <c r="E14" i="2"/>
  <c r="I13" i="2"/>
  <c r="E13" i="2"/>
  <c r="I12" i="2"/>
  <c r="E12" i="2"/>
  <c r="I11" i="2"/>
  <c r="E11" i="2"/>
  <c r="I10" i="2"/>
  <c r="E10" i="2"/>
  <c r="I9" i="2"/>
  <c r="E9" i="2"/>
  <c r="I8" i="2"/>
  <c r="E8" i="2"/>
  <c r="I7" i="2"/>
  <c r="E7" i="2"/>
  <c r="I6" i="2"/>
  <c r="E6" i="2"/>
  <c r="I5" i="2"/>
  <c r="E5" i="2"/>
  <c r="I4" i="2"/>
  <c r="E4" i="2"/>
  <c r="I3" i="2"/>
  <c r="E3" i="2"/>
  <c r="I2" i="2"/>
  <c r="AM24" i="2" l="1"/>
  <c r="U24" i="2"/>
  <c r="AD24" i="2"/>
  <c r="AE12" i="2" s="1"/>
  <c r="E24" i="2"/>
  <c r="I2" i="1"/>
  <c r="E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AN19" i="2" l="1"/>
  <c r="AN10" i="2"/>
  <c r="AN12" i="2"/>
  <c r="AN4" i="2"/>
  <c r="AN17" i="2"/>
  <c r="AN13" i="2"/>
  <c r="AN5" i="2"/>
  <c r="AN3" i="2"/>
  <c r="AN20" i="2"/>
  <c r="AN21" i="2"/>
  <c r="AN11" i="2"/>
  <c r="AN16" i="2"/>
  <c r="AN14" i="2"/>
  <c r="AN18" i="2"/>
  <c r="AN9" i="2"/>
  <c r="AN8" i="2"/>
  <c r="AN7" i="2"/>
  <c r="AN15" i="2"/>
  <c r="AN6" i="2"/>
  <c r="AN2" i="2"/>
  <c r="AE19" i="2"/>
  <c r="AE15" i="2"/>
  <c r="AE16" i="2"/>
  <c r="AE14" i="2"/>
  <c r="AE8" i="2"/>
  <c r="AE20" i="2"/>
  <c r="AE13" i="2"/>
  <c r="AE18" i="2"/>
  <c r="AE4" i="2"/>
  <c r="AE11" i="2"/>
  <c r="AE5" i="2"/>
  <c r="AE7" i="2"/>
  <c r="AE6" i="2"/>
  <c r="AE17" i="2"/>
  <c r="AE10" i="2"/>
  <c r="AE3" i="2"/>
  <c r="AE21" i="2"/>
  <c r="AE2" i="2"/>
  <c r="AE9" i="2"/>
  <c r="V9" i="2"/>
  <c r="V20" i="2"/>
  <c r="F15" i="2" s="1"/>
  <c r="V19" i="2"/>
  <c r="V10" i="2"/>
  <c r="F17" i="2" s="1"/>
  <c r="V18" i="2"/>
  <c r="F19" i="2" s="1"/>
  <c r="V6" i="2"/>
  <c r="F20" i="2" s="1"/>
  <c r="V7" i="2"/>
  <c r="F2" i="2" s="1"/>
  <c r="V14" i="2"/>
  <c r="F7" i="2" s="1"/>
  <c r="V2" i="2"/>
  <c r="F14" i="2" s="1"/>
  <c r="V4" i="2"/>
  <c r="V8" i="2"/>
  <c r="F4" i="2" s="1"/>
  <c r="V5" i="2"/>
  <c r="V21" i="2"/>
  <c r="V11" i="2"/>
  <c r="V3" i="2"/>
  <c r="V16" i="2"/>
  <c r="F12" i="2" s="1"/>
  <c r="V17" i="2"/>
  <c r="F11" i="2" s="1"/>
  <c r="V15" i="2"/>
  <c r="F9" i="2" s="1"/>
  <c r="V12" i="2"/>
  <c r="F13" i="2" s="1"/>
  <c r="V13" i="2"/>
  <c r="F21" i="2" s="1"/>
  <c r="E24" i="1"/>
  <c r="F2" i="1" s="1"/>
  <c r="G2" i="1" s="1"/>
  <c r="H2" i="1" s="1"/>
  <c r="J2" i="1" s="1"/>
  <c r="F5" i="2" l="1"/>
  <c r="F10" i="2"/>
  <c r="F3" i="2"/>
  <c r="F8" i="2"/>
  <c r="F16" i="2"/>
  <c r="F6" i="2"/>
  <c r="F18" i="2"/>
  <c r="F14" i="1"/>
  <c r="G14" i="1" s="1"/>
  <c r="H14" i="1" s="1"/>
  <c r="J14" i="1" s="1"/>
  <c r="F15" i="1"/>
  <c r="G15" i="1" s="1"/>
  <c r="H15" i="1" s="1"/>
  <c r="J15" i="1" s="1"/>
  <c r="F16" i="1"/>
  <c r="G16" i="1" s="1"/>
  <c r="H16" i="1" s="1"/>
  <c r="J16" i="1" s="1"/>
  <c r="F17" i="1"/>
  <c r="G17" i="1" s="1"/>
  <c r="H17" i="1" s="1"/>
  <c r="J17" i="1" s="1"/>
  <c r="F18" i="1"/>
  <c r="G18" i="1" s="1"/>
  <c r="H18" i="1" s="1"/>
  <c r="J18" i="1" s="1"/>
  <c r="F21" i="1"/>
  <c r="G21" i="1" s="1"/>
  <c r="H21" i="1" s="1"/>
  <c r="J21" i="1" s="1"/>
  <c r="F3" i="1"/>
  <c r="G3" i="1" s="1"/>
  <c r="F4" i="1"/>
  <c r="G4" i="1" s="1"/>
  <c r="F5" i="1"/>
  <c r="G5" i="1" s="1"/>
  <c r="F8" i="1"/>
  <c r="G8" i="1" s="1"/>
  <c r="H8" i="1" s="1"/>
  <c r="J8" i="1" s="1"/>
  <c r="F19" i="1"/>
  <c r="G19" i="1" s="1"/>
  <c r="H19" i="1" s="1"/>
  <c r="J19" i="1" s="1"/>
  <c r="F20" i="1"/>
  <c r="G20" i="1" s="1"/>
  <c r="H20" i="1" s="1"/>
  <c r="J20" i="1" s="1"/>
  <c r="F6" i="1"/>
  <c r="G6" i="1" s="1"/>
  <c r="H6" i="1" s="1"/>
  <c r="J6" i="1" s="1"/>
  <c r="F7" i="1"/>
  <c r="G7" i="1" s="1"/>
  <c r="H7" i="1" s="1"/>
  <c r="J7" i="1" s="1"/>
  <c r="F9" i="1"/>
  <c r="G9" i="1" s="1"/>
  <c r="H9" i="1" s="1"/>
  <c r="J9" i="1" s="1"/>
  <c r="F12" i="1"/>
  <c r="G12" i="1" s="1"/>
  <c r="H12" i="1" s="1"/>
  <c r="J12" i="1" s="1"/>
  <c r="F10" i="1"/>
  <c r="G10" i="1" s="1"/>
  <c r="H10" i="1" s="1"/>
  <c r="J10" i="1" s="1"/>
  <c r="F11" i="1"/>
  <c r="G11" i="1" s="1"/>
  <c r="H11" i="1" s="1"/>
  <c r="J11" i="1" s="1"/>
  <c r="F13" i="1"/>
  <c r="G13" i="1" s="1"/>
  <c r="H13" i="1" s="1"/>
  <c r="J13" i="1" s="1"/>
  <c r="H4" i="1" l="1"/>
  <c r="J4" i="1" s="1"/>
  <c r="H5" i="1"/>
  <c r="J5" i="1" s="1"/>
  <c r="H3" i="1"/>
  <c r="J3" i="1" s="1"/>
  <c r="J24" i="1" l="1"/>
  <c r="G19" i="2" l="1"/>
  <c r="H19" i="2" s="1"/>
  <c r="J19" i="2" s="1"/>
  <c r="G12" i="2"/>
  <c r="H12" i="2" s="1"/>
  <c r="J12" i="2" s="1"/>
  <c r="G3" i="2"/>
  <c r="H3" i="2" s="1"/>
  <c r="J3" i="2" s="1"/>
  <c r="G16" i="2"/>
  <c r="H16" i="2" s="1"/>
  <c r="J16" i="2" s="1"/>
  <c r="G9" i="2"/>
  <c r="H9" i="2" s="1"/>
  <c r="J9" i="2" s="1"/>
  <c r="G14" i="2" l="1"/>
  <c r="H14" i="2" s="1"/>
  <c r="J14" i="2" s="1"/>
  <c r="G4" i="2"/>
  <c r="H4" i="2" s="1"/>
  <c r="J4" i="2" s="1"/>
  <c r="G21" i="2"/>
  <c r="H21" i="2" s="1"/>
  <c r="J21" i="2" s="1"/>
  <c r="G15" i="2"/>
  <c r="H15" i="2" s="1"/>
  <c r="J15" i="2" s="1"/>
  <c r="G13" i="2"/>
  <c r="H13" i="2" s="1"/>
  <c r="J13" i="2" s="1"/>
  <c r="G6" i="2"/>
  <c r="H6" i="2" s="1"/>
  <c r="J6" i="2" s="1"/>
  <c r="G5" i="2"/>
  <c r="H5" i="2" s="1"/>
  <c r="J5" i="2" s="1"/>
  <c r="G11" i="2"/>
  <c r="H11" i="2" s="1"/>
  <c r="J11" i="2" s="1"/>
  <c r="G17" i="2"/>
  <c r="H17" i="2" s="1"/>
  <c r="J17" i="2" s="1"/>
  <c r="G2" i="2"/>
  <c r="H2" i="2" s="1"/>
  <c r="J2" i="2" s="1"/>
  <c r="G20" i="2"/>
  <c r="H20" i="2" s="1"/>
  <c r="J20" i="2" s="1"/>
  <c r="G10" i="2"/>
  <c r="H10" i="2" s="1"/>
  <c r="J10" i="2" s="1"/>
  <c r="G7" i="2"/>
  <c r="H7" i="2" s="1"/>
  <c r="J7" i="2" s="1"/>
  <c r="G18" i="2"/>
  <c r="H18" i="2" s="1"/>
  <c r="J18" i="2" s="1"/>
  <c r="G8" i="2"/>
  <c r="H8" i="2" s="1"/>
  <c r="J8" i="2" s="1"/>
  <c r="J24" i="2" l="1"/>
</calcChain>
</file>

<file path=xl/sharedStrings.xml><?xml version="1.0" encoding="utf-8"?>
<sst xmlns="http://schemas.openxmlformats.org/spreadsheetml/2006/main" count="76" uniqueCount="24">
  <si>
    <t>Multiplier</t>
  </si>
  <si>
    <t>Inhabitants</t>
  </si>
  <si>
    <t>Base Treasure</t>
  </si>
  <si>
    <t>Suitcase</t>
  </si>
  <si>
    <t>Total Picks</t>
  </si>
  <si>
    <t>Our Pick</t>
  </si>
  <si>
    <t>PopFrac</t>
  </si>
  <si>
    <t>Divisor</t>
  </si>
  <si>
    <t>Raw Share</t>
  </si>
  <si>
    <t>Total</t>
  </si>
  <si>
    <t>Cost1</t>
  </si>
  <si>
    <t>Cost2</t>
  </si>
  <si>
    <t>Cost</t>
  </si>
  <si>
    <t>Profit</t>
  </si>
  <si>
    <t>Rank</t>
  </si>
  <si>
    <t>GaussianRaw</t>
  </si>
  <si>
    <t>Sigma</t>
  </si>
  <si>
    <t>Normalised</t>
  </si>
  <si>
    <t>Sum</t>
  </si>
  <si>
    <t>The Pick</t>
  </si>
  <si>
    <t>Weight</t>
  </si>
  <si>
    <t>Selection Option</t>
  </si>
  <si>
    <t>Manual</t>
  </si>
  <si>
    <t>Distirubtion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</si>
</sst>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[$€-2]\ * #,##0_-;\-[$€-2]\ * #,##0_-;_-[$€-2]\ * &quot;-&quot;??_-;_-@_-"/>
    <numFmt numFmtId="165" formatCode="0.0%"/>
    <numFmt numFmtId="166" formatCode="0.00000"/>
    <numFmt numFmtId="167" formatCode="0.0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43" fontId="0" fillId="0" borderId="0" xfId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43" fontId="0" fillId="0" borderId="1" xfId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3" fontId="0" fillId="0" borderId="9" xfId="1" applyFon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0" fontId="0" fillId="0" borderId="7" xfId="2" applyNumberFormat="1" applyFon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10" fontId="0" fillId="0" borderId="10" xfId="2" applyNumberFormat="1" applyFon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3" fontId="0" fillId="0" borderId="4" xfId="1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165" fontId="0" fillId="0" borderId="18" xfId="2" applyNumberFormat="1" applyFont="1" applyBorder="1" applyAlignment="1">
      <alignment horizontal="center" vertical="center"/>
    </xf>
    <xf numFmtId="165" fontId="0" fillId="0" borderId="17" xfId="2" applyNumberFormat="1" applyFont="1" applyBorder="1" applyAlignment="1">
      <alignment horizontal="center" vertical="center"/>
    </xf>
    <xf numFmtId="10" fontId="0" fillId="0" borderId="5" xfId="2" applyNumberFormat="1" applyFont="1" applyFill="1" applyBorder="1" applyAlignment="1">
      <alignment horizontal="center" vertical="center"/>
    </xf>
    <xf numFmtId="10" fontId="0" fillId="0" borderId="7" xfId="2" applyNumberFormat="1" applyFont="1" applyFill="1" applyBorder="1" applyAlignment="1">
      <alignment horizontal="center" vertical="center"/>
    </xf>
    <xf numFmtId="10" fontId="0" fillId="0" borderId="10" xfId="2" applyNumberFormat="1" applyFont="1" applyFill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3" fontId="0" fillId="0" borderId="20" xfId="1" applyFont="1" applyBorder="1" applyAlignment="1">
      <alignment horizontal="center" vertical="center"/>
    </xf>
    <xf numFmtId="43" fontId="0" fillId="0" borderId="21" xfId="1" applyFont="1" applyBorder="1" applyAlignment="1">
      <alignment horizontal="center" vertical="center"/>
    </xf>
    <xf numFmtId="43" fontId="0" fillId="0" borderId="22" xfId="1" applyFont="1" applyBorder="1" applyAlignment="1">
      <alignment horizontal="center" vertical="center"/>
    </xf>
    <xf numFmtId="43" fontId="0" fillId="0" borderId="23" xfId="1" applyFont="1" applyBorder="1" applyAlignment="1">
      <alignment horizontal="center" vertical="center"/>
    </xf>
    <xf numFmtId="165" fontId="0" fillId="0" borderId="24" xfId="2" applyNumberFormat="1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43" fontId="0" fillId="0" borderId="2" xfId="0" applyNumberFormat="1" applyBorder="1" applyAlignment="1">
      <alignment horizontal="center" vertical="center"/>
    </xf>
  </cellXfs>
  <cellStyles count="3">
    <cellStyle name="Comma" xfId="1" builtinId="3"/>
    <cellStyle name="Normal" xfId="0" builtinId="0"/>
    <cellStyle name="Per cent" xfId="2" builtinId="5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22</xdr:row>
      <xdr:rowOff>9525</xdr:rowOff>
    </xdr:from>
    <xdr:to>
      <xdr:col>2</xdr:col>
      <xdr:colOff>20955</xdr:colOff>
      <xdr:row>27</xdr:row>
      <xdr:rowOff>20955</xdr:rowOff>
    </xdr:to>
    <xdr:pic macro="[0]!ThisWorkbook.FindBestPicksUpTo3">
      <xdr:nvPicPr>
        <xdr:cNvPr id="3" name="Graphic 2" descr="Pig with solid fill">
          <a:extLst>
            <a:ext uri="{FF2B5EF4-FFF2-40B4-BE49-F238E27FC236}">
              <a16:creationId xmlns:a16="http://schemas.microsoft.com/office/drawing/2014/main" id="{331A650A-3121-13E6-53DC-B28F53979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0" y="3990975"/>
          <a:ext cx="916305" cy="9163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22</xdr:row>
      <xdr:rowOff>66675</xdr:rowOff>
    </xdr:from>
    <xdr:to>
      <xdr:col>2</xdr:col>
      <xdr:colOff>93345</xdr:colOff>
      <xdr:row>27</xdr:row>
      <xdr:rowOff>20955</xdr:rowOff>
    </xdr:to>
    <xdr:pic macro="[0]!FindBestPicksIterator">
      <xdr:nvPicPr>
        <xdr:cNvPr id="5" name="Graphic 4" descr="Workflow with solid fill">
          <a:extLst>
            <a:ext uri="{FF2B5EF4-FFF2-40B4-BE49-F238E27FC236}">
              <a16:creationId xmlns:a16="http://schemas.microsoft.com/office/drawing/2014/main" id="{3E496F88-EE53-23DB-6080-A3E3D393E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1475" y="4067175"/>
          <a:ext cx="916305" cy="910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E52AC-A366-4188-9A25-DAD2CEFD3519}">
  <sheetPr codeName="Sheet1"/>
  <dimension ref="A1:U27"/>
  <sheetViews>
    <sheetView workbookViewId="0">
      <selection activeCell="H31" sqref="H31"/>
    </sheetView>
  </sheetViews>
  <sheetFormatPr defaultRowHeight="14.4" x14ac:dyDescent="0.3"/>
  <cols>
    <col min="1" max="1" width="8.21875" style="1" bestFit="1" customWidth="1"/>
    <col min="2" max="2" width="9.109375" style="1" bestFit="1" customWidth="1"/>
    <col min="3" max="3" width="10.77734375" style="1" bestFit="1" customWidth="1"/>
    <col min="4" max="4" width="8.21875" style="1" bestFit="1" customWidth="1"/>
    <col min="5" max="5" width="10.21875" style="1" customWidth="1"/>
    <col min="6" max="6" width="10.21875" style="1" bestFit="1" customWidth="1"/>
    <col min="7" max="7" width="7.109375" style="1" bestFit="1" customWidth="1"/>
    <col min="8" max="8" width="13.21875" style="1" bestFit="1" customWidth="1"/>
    <col min="9" max="9" width="10.21875" style="1" bestFit="1" customWidth="1"/>
    <col min="10" max="10" width="11.77734375" style="1" bestFit="1" customWidth="1"/>
    <col min="11" max="11" width="8.21875" style="1" customWidth="1"/>
    <col min="12" max="21" width="11.5546875" style="1" customWidth="1"/>
    <col min="22" max="16384" width="8.88671875" style="1"/>
  </cols>
  <sheetData>
    <row r="1" spans="1:21" x14ac:dyDescent="0.3">
      <c r="A1" s="1" t="s">
        <v>3</v>
      </c>
      <c r="B1" s="1" t="s">
        <v>0</v>
      </c>
      <c r="C1" s="1" t="s">
        <v>1</v>
      </c>
      <c r="D1" s="1" t="s">
        <v>5</v>
      </c>
      <c r="E1" s="1" t="s">
        <v>4</v>
      </c>
      <c r="F1" s="1" t="s">
        <v>6</v>
      </c>
      <c r="G1" s="1" t="s">
        <v>7</v>
      </c>
      <c r="H1" s="1" t="s">
        <v>8</v>
      </c>
      <c r="I1" s="1" t="s">
        <v>12</v>
      </c>
      <c r="J1" s="1" t="s">
        <v>13</v>
      </c>
      <c r="L1" s="1" t="s">
        <v>3</v>
      </c>
      <c r="M1" s="1" t="s">
        <v>0</v>
      </c>
      <c r="N1" s="1" t="s">
        <v>1</v>
      </c>
      <c r="O1" s="1" t="s">
        <v>5</v>
      </c>
      <c r="P1" s="1" t="s">
        <v>4</v>
      </c>
      <c r="Q1" s="1" t="s">
        <v>6</v>
      </c>
      <c r="R1" s="1" t="s">
        <v>7</v>
      </c>
      <c r="S1" s="1" t="s">
        <v>8</v>
      </c>
      <c r="T1" s="1" t="s">
        <v>12</v>
      </c>
      <c r="U1" s="1" t="s">
        <v>13</v>
      </c>
    </row>
    <row r="2" spans="1:21" x14ac:dyDescent="0.3">
      <c r="A2" s="1">
        <v>1</v>
      </c>
      <c r="B2" s="1">
        <v>80</v>
      </c>
      <c r="C2" s="1">
        <v>6</v>
      </c>
      <c r="D2" s="1">
        <v>0</v>
      </c>
      <c r="E2" s="1">
        <f>C2+IF(D2&gt;0,1,0)</f>
        <v>6</v>
      </c>
      <c r="F2" s="3">
        <f t="shared" ref="F2:F21" si="0">E2/$E$24</f>
        <v>6.5217391304347824E-2</v>
      </c>
      <c r="G2" s="4">
        <f>E2+F2</f>
        <v>6.0652173913043477</v>
      </c>
      <c r="H2" s="2">
        <f>($H$24*$B2)/G2</f>
        <v>131899.64157706095</v>
      </c>
      <c r="I2" s="2">
        <f>IF(D2=2,$E$27,IF(D2=3,$F$27,0))</f>
        <v>0</v>
      </c>
      <c r="J2" s="2">
        <f>IF(D2&gt;0,H2-I2,0)</f>
        <v>0</v>
      </c>
      <c r="L2" s="5"/>
      <c r="M2" s="2"/>
    </row>
    <row r="3" spans="1:21" x14ac:dyDescent="0.3">
      <c r="A3" s="1">
        <v>2</v>
      </c>
      <c r="B3" s="1">
        <v>50</v>
      </c>
      <c r="C3" s="1">
        <v>4</v>
      </c>
      <c r="D3" s="1">
        <v>0</v>
      </c>
      <c r="E3" s="1">
        <f t="shared" ref="E3:E21" si="1">C3+IF(D3&gt;0,1,0)</f>
        <v>4</v>
      </c>
      <c r="F3" s="3">
        <f t="shared" si="0"/>
        <v>4.3478260869565216E-2</v>
      </c>
      <c r="G3" s="4">
        <f t="shared" ref="G3:G21" si="2">E3+F3</f>
        <v>4.0434782608695654</v>
      </c>
      <c r="H3" s="2">
        <f t="shared" ref="H3:H21" si="3">($H$24*$B3)/G3</f>
        <v>123655.91397849462</v>
      </c>
      <c r="I3" s="2">
        <f t="shared" ref="I3:I21" si="4">IF(D3=2,$E$27,IF(D3=3,$F$27,0))</f>
        <v>0</v>
      </c>
      <c r="J3" s="2">
        <f t="shared" ref="J3:J21" si="5">IF(D3&gt;0,H3-I3,0)</f>
        <v>0</v>
      </c>
      <c r="L3" s="4"/>
      <c r="M3" s="2"/>
    </row>
    <row r="4" spans="1:21" x14ac:dyDescent="0.3">
      <c r="A4" s="1">
        <v>3</v>
      </c>
      <c r="B4" s="1">
        <v>83</v>
      </c>
      <c r="C4" s="1">
        <v>7</v>
      </c>
      <c r="D4" s="1">
        <v>0</v>
      </c>
      <c r="E4" s="1">
        <f t="shared" si="1"/>
        <v>7</v>
      </c>
      <c r="F4" s="3">
        <f t="shared" si="0"/>
        <v>7.6086956521739135E-2</v>
      </c>
      <c r="G4" s="4">
        <f t="shared" si="2"/>
        <v>7.0760869565217392</v>
      </c>
      <c r="H4" s="2">
        <f t="shared" si="3"/>
        <v>117296.46697388633</v>
      </c>
      <c r="I4" s="2">
        <f t="shared" si="4"/>
        <v>0</v>
      </c>
      <c r="J4" s="2">
        <f t="shared" si="5"/>
        <v>0</v>
      </c>
      <c r="L4" s="4"/>
      <c r="M4" s="2"/>
    </row>
    <row r="5" spans="1:21" x14ac:dyDescent="0.3">
      <c r="A5" s="1">
        <v>4</v>
      </c>
      <c r="B5" s="1">
        <v>31</v>
      </c>
      <c r="C5" s="1">
        <v>2</v>
      </c>
      <c r="D5" s="1">
        <v>0</v>
      </c>
      <c r="E5" s="1">
        <f t="shared" si="1"/>
        <v>2</v>
      </c>
      <c r="F5" s="3">
        <f t="shared" si="0"/>
        <v>2.1739130434782608E-2</v>
      </c>
      <c r="G5" s="4">
        <f t="shared" si="2"/>
        <v>2.0217391304347827</v>
      </c>
      <c r="H5" s="2">
        <f t="shared" si="3"/>
        <v>153333.33333333331</v>
      </c>
      <c r="I5" s="2">
        <f t="shared" si="4"/>
        <v>0</v>
      </c>
      <c r="J5" s="2">
        <f t="shared" si="5"/>
        <v>0</v>
      </c>
      <c r="L5" s="4"/>
      <c r="M5" s="2"/>
    </row>
    <row r="6" spans="1:21" x14ac:dyDescent="0.3">
      <c r="A6" s="1">
        <v>5</v>
      </c>
      <c r="B6" s="1">
        <v>60</v>
      </c>
      <c r="C6" s="1">
        <v>4</v>
      </c>
      <c r="D6" s="1">
        <v>0</v>
      </c>
      <c r="E6" s="1">
        <f t="shared" si="1"/>
        <v>4</v>
      </c>
      <c r="F6" s="3">
        <f t="shared" si="0"/>
        <v>4.3478260869565216E-2</v>
      </c>
      <c r="G6" s="4">
        <f t="shared" si="2"/>
        <v>4.0434782608695654</v>
      </c>
      <c r="H6" s="2">
        <f t="shared" si="3"/>
        <v>148387.09677419355</v>
      </c>
      <c r="I6" s="2">
        <f t="shared" si="4"/>
        <v>0</v>
      </c>
      <c r="J6" s="2">
        <f t="shared" si="5"/>
        <v>0</v>
      </c>
      <c r="L6" s="4"/>
      <c r="M6" s="2"/>
    </row>
    <row r="7" spans="1:21" x14ac:dyDescent="0.3">
      <c r="A7" s="1">
        <v>6</v>
      </c>
      <c r="B7" s="6">
        <v>89</v>
      </c>
      <c r="C7" s="1">
        <v>8</v>
      </c>
      <c r="D7" s="1">
        <v>0</v>
      </c>
      <c r="E7" s="1">
        <f t="shared" si="1"/>
        <v>8</v>
      </c>
      <c r="F7" s="3">
        <f t="shared" si="0"/>
        <v>8.6956521739130432E-2</v>
      </c>
      <c r="G7" s="4">
        <f t="shared" si="2"/>
        <v>8.0869565217391308</v>
      </c>
      <c r="H7" s="2">
        <f t="shared" si="3"/>
        <v>110053.7634408602</v>
      </c>
      <c r="I7" s="2">
        <f t="shared" si="4"/>
        <v>0</v>
      </c>
      <c r="J7" s="2">
        <f t="shared" si="5"/>
        <v>0</v>
      </c>
      <c r="L7" s="4"/>
      <c r="M7" s="2"/>
    </row>
    <row r="8" spans="1:21" x14ac:dyDescent="0.3">
      <c r="A8" s="1">
        <v>7</v>
      </c>
      <c r="B8" s="1">
        <v>10</v>
      </c>
      <c r="C8" s="1">
        <v>1</v>
      </c>
      <c r="D8" s="1">
        <v>0</v>
      </c>
      <c r="E8" s="1">
        <f t="shared" si="1"/>
        <v>1</v>
      </c>
      <c r="F8" s="3">
        <f t="shared" si="0"/>
        <v>1.0869565217391304E-2</v>
      </c>
      <c r="G8" s="4">
        <f t="shared" si="2"/>
        <v>1.0108695652173914</v>
      </c>
      <c r="H8" s="2">
        <f t="shared" si="3"/>
        <v>98924.731182795687</v>
      </c>
      <c r="I8" s="2">
        <f t="shared" si="4"/>
        <v>0</v>
      </c>
      <c r="J8" s="2">
        <f t="shared" si="5"/>
        <v>0</v>
      </c>
      <c r="L8" s="4"/>
      <c r="M8" s="2"/>
    </row>
    <row r="9" spans="1:21" x14ac:dyDescent="0.3">
      <c r="A9" s="1">
        <v>8</v>
      </c>
      <c r="B9" s="1">
        <v>37</v>
      </c>
      <c r="C9" s="1">
        <v>3</v>
      </c>
      <c r="D9" s="1">
        <v>0</v>
      </c>
      <c r="E9" s="1">
        <f t="shared" si="1"/>
        <v>3</v>
      </c>
      <c r="F9" s="3">
        <f t="shared" si="0"/>
        <v>3.2608695652173912E-2</v>
      </c>
      <c r="G9" s="4">
        <f t="shared" si="2"/>
        <v>3.0326086956521738</v>
      </c>
      <c r="H9" s="2">
        <f t="shared" si="3"/>
        <v>122007.16845878137</v>
      </c>
      <c r="I9" s="2">
        <f t="shared" si="4"/>
        <v>0</v>
      </c>
      <c r="J9" s="2">
        <f t="shared" si="5"/>
        <v>0</v>
      </c>
      <c r="L9" s="4"/>
      <c r="M9" s="2"/>
    </row>
    <row r="10" spans="1:21" x14ac:dyDescent="0.3">
      <c r="A10" s="1">
        <v>9</v>
      </c>
      <c r="B10" s="1">
        <v>70</v>
      </c>
      <c r="C10" s="1">
        <v>4</v>
      </c>
      <c r="D10" s="1">
        <v>1</v>
      </c>
      <c r="E10" s="1">
        <f t="shared" si="1"/>
        <v>5</v>
      </c>
      <c r="F10" s="3">
        <f t="shared" si="0"/>
        <v>5.434782608695652E-2</v>
      </c>
      <c r="G10" s="4">
        <f t="shared" si="2"/>
        <v>5.0543478260869561</v>
      </c>
      <c r="H10" s="2">
        <f t="shared" si="3"/>
        <v>138494.62365591398</v>
      </c>
      <c r="I10" s="2">
        <f t="shared" si="4"/>
        <v>0</v>
      </c>
      <c r="J10" s="2">
        <f t="shared" si="5"/>
        <v>138494.62365591398</v>
      </c>
      <c r="L10" s="4"/>
      <c r="M10" s="2"/>
    </row>
    <row r="11" spans="1:21" x14ac:dyDescent="0.3">
      <c r="A11" s="1">
        <v>10</v>
      </c>
      <c r="B11" s="6">
        <v>90</v>
      </c>
      <c r="C11" s="1">
        <v>10</v>
      </c>
      <c r="D11" s="1">
        <v>0</v>
      </c>
      <c r="E11" s="1">
        <f t="shared" si="1"/>
        <v>10</v>
      </c>
      <c r="F11" s="3">
        <f t="shared" si="0"/>
        <v>0.10869565217391304</v>
      </c>
      <c r="G11" s="4">
        <f t="shared" si="2"/>
        <v>10.108695652173912</v>
      </c>
      <c r="H11" s="2">
        <f t="shared" si="3"/>
        <v>89032.258064516136</v>
      </c>
      <c r="I11" s="2">
        <f t="shared" si="4"/>
        <v>0</v>
      </c>
      <c r="J11" s="2">
        <f t="shared" si="5"/>
        <v>0</v>
      </c>
      <c r="L11" s="4"/>
      <c r="M11" s="2"/>
    </row>
    <row r="12" spans="1:21" x14ac:dyDescent="0.3">
      <c r="A12" s="1">
        <v>11</v>
      </c>
      <c r="B12" s="1">
        <v>17</v>
      </c>
      <c r="C12" s="1">
        <v>1</v>
      </c>
      <c r="D12" s="1">
        <v>0</v>
      </c>
      <c r="E12" s="1">
        <f t="shared" si="1"/>
        <v>1</v>
      </c>
      <c r="F12" s="3">
        <f t="shared" si="0"/>
        <v>1.0869565217391304E-2</v>
      </c>
      <c r="G12" s="4">
        <f t="shared" si="2"/>
        <v>1.0108695652173914</v>
      </c>
      <c r="H12" s="2">
        <f t="shared" si="3"/>
        <v>168172.04301075268</v>
      </c>
      <c r="I12" s="2">
        <f t="shared" si="4"/>
        <v>0</v>
      </c>
      <c r="J12" s="2">
        <f t="shared" si="5"/>
        <v>0</v>
      </c>
      <c r="L12" s="4"/>
      <c r="M12" s="2"/>
    </row>
    <row r="13" spans="1:21" x14ac:dyDescent="0.3">
      <c r="A13" s="1">
        <v>12</v>
      </c>
      <c r="B13" s="1">
        <v>40</v>
      </c>
      <c r="C13" s="1">
        <v>3</v>
      </c>
      <c r="D13" s="1">
        <v>0</v>
      </c>
      <c r="E13" s="1">
        <f t="shared" si="1"/>
        <v>3</v>
      </c>
      <c r="F13" s="3">
        <f t="shared" si="0"/>
        <v>3.2608695652173912E-2</v>
      </c>
      <c r="G13" s="4">
        <f t="shared" si="2"/>
        <v>3.0326086956521738</v>
      </c>
      <c r="H13" s="2">
        <f t="shared" si="3"/>
        <v>131899.64157706095</v>
      </c>
      <c r="I13" s="2">
        <f t="shared" si="4"/>
        <v>0</v>
      </c>
      <c r="J13" s="2">
        <f t="shared" si="5"/>
        <v>0</v>
      </c>
      <c r="L13" s="4"/>
      <c r="M13" s="2"/>
    </row>
    <row r="14" spans="1:21" x14ac:dyDescent="0.3">
      <c r="A14" s="1">
        <v>13</v>
      </c>
      <c r="B14" s="1">
        <v>73</v>
      </c>
      <c r="C14" s="1">
        <v>4</v>
      </c>
      <c r="D14" s="1">
        <v>2</v>
      </c>
      <c r="E14" s="1">
        <f t="shared" si="1"/>
        <v>5</v>
      </c>
      <c r="F14" s="3">
        <f t="shared" si="0"/>
        <v>5.434782608695652E-2</v>
      </c>
      <c r="G14" s="4">
        <f t="shared" si="2"/>
        <v>5.0543478260869561</v>
      </c>
      <c r="H14" s="2">
        <f t="shared" si="3"/>
        <v>144430.10752688174</v>
      </c>
      <c r="I14" s="2">
        <f t="shared" si="4"/>
        <v>50000</v>
      </c>
      <c r="J14" s="2">
        <f t="shared" si="5"/>
        <v>94430.107526881737</v>
      </c>
      <c r="L14" s="4"/>
      <c r="M14" s="2"/>
    </row>
    <row r="15" spans="1:21" x14ac:dyDescent="0.3">
      <c r="A15" s="1">
        <v>14</v>
      </c>
      <c r="B15" s="6">
        <v>100</v>
      </c>
      <c r="C15" s="1">
        <v>15</v>
      </c>
      <c r="D15" s="1">
        <v>0</v>
      </c>
      <c r="E15" s="1">
        <f t="shared" si="1"/>
        <v>15</v>
      </c>
      <c r="F15" s="3">
        <f t="shared" si="0"/>
        <v>0.16304347826086957</v>
      </c>
      <c r="G15" s="4">
        <f t="shared" si="2"/>
        <v>15.163043478260869</v>
      </c>
      <c r="H15" s="2">
        <f t="shared" si="3"/>
        <v>65949.820788530473</v>
      </c>
      <c r="I15" s="2">
        <f t="shared" si="4"/>
        <v>0</v>
      </c>
      <c r="J15" s="2">
        <f t="shared" si="5"/>
        <v>0</v>
      </c>
      <c r="L15" s="4"/>
      <c r="M15" s="2"/>
    </row>
    <row r="16" spans="1:21" x14ac:dyDescent="0.3">
      <c r="A16" s="1">
        <v>15</v>
      </c>
      <c r="B16" s="1">
        <v>20</v>
      </c>
      <c r="C16" s="1">
        <v>2</v>
      </c>
      <c r="D16" s="1">
        <v>0</v>
      </c>
      <c r="E16" s="1">
        <f t="shared" si="1"/>
        <v>2</v>
      </c>
      <c r="F16" s="3">
        <f t="shared" si="0"/>
        <v>2.1739130434782608E-2</v>
      </c>
      <c r="G16" s="4">
        <f t="shared" si="2"/>
        <v>2.0217391304347827</v>
      </c>
      <c r="H16" s="2">
        <f t="shared" si="3"/>
        <v>98924.731182795687</v>
      </c>
      <c r="I16" s="2">
        <f t="shared" si="4"/>
        <v>0</v>
      </c>
      <c r="J16" s="2">
        <f t="shared" si="5"/>
        <v>0</v>
      </c>
      <c r="L16" s="4"/>
      <c r="M16" s="2"/>
    </row>
    <row r="17" spans="1:13" x14ac:dyDescent="0.3">
      <c r="A17" s="1">
        <v>16</v>
      </c>
      <c r="B17" s="1">
        <v>41</v>
      </c>
      <c r="C17" s="1">
        <v>3</v>
      </c>
      <c r="D17" s="1">
        <v>0</v>
      </c>
      <c r="E17" s="1">
        <f t="shared" si="1"/>
        <v>3</v>
      </c>
      <c r="F17" s="3">
        <f t="shared" si="0"/>
        <v>3.2608695652173912E-2</v>
      </c>
      <c r="G17" s="4">
        <f t="shared" si="2"/>
        <v>3.0326086956521738</v>
      </c>
      <c r="H17" s="2">
        <f t="shared" si="3"/>
        <v>135197.13261648745</v>
      </c>
      <c r="I17" s="2">
        <f t="shared" si="4"/>
        <v>0</v>
      </c>
      <c r="J17" s="2">
        <f t="shared" si="5"/>
        <v>0</v>
      </c>
      <c r="L17" s="4"/>
      <c r="M17" s="2"/>
    </row>
    <row r="18" spans="1:13" x14ac:dyDescent="0.3">
      <c r="A18" s="1">
        <v>17</v>
      </c>
      <c r="B18" s="1">
        <v>79</v>
      </c>
      <c r="C18" s="1">
        <v>5</v>
      </c>
      <c r="D18" s="1">
        <v>3</v>
      </c>
      <c r="E18" s="1">
        <f t="shared" si="1"/>
        <v>6</v>
      </c>
      <c r="F18" s="3">
        <f t="shared" si="0"/>
        <v>6.5217391304347824E-2</v>
      </c>
      <c r="G18" s="4">
        <f t="shared" si="2"/>
        <v>6.0652173913043477</v>
      </c>
      <c r="H18" s="2">
        <f t="shared" si="3"/>
        <v>130250.89605734768</v>
      </c>
      <c r="I18" s="2">
        <f t="shared" si="4"/>
        <v>100000</v>
      </c>
      <c r="J18" s="2">
        <f t="shared" si="5"/>
        <v>30250.89605734768</v>
      </c>
      <c r="L18" s="4"/>
      <c r="M18" s="2"/>
    </row>
    <row r="19" spans="1:13" x14ac:dyDescent="0.3">
      <c r="A19" s="1">
        <v>18</v>
      </c>
      <c r="B19" s="1">
        <v>23</v>
      </c>
      <c r="C19" s="1">
        <v>2</v>
      </c>
      <c r="D19" s="1">
        <v>0</v>
      </c>
      <c r="E19" s="1">
        <f t="shared" si="1"/>
        <v>2</v>
      </c>
      <c r="F19" s="3">
        <f t="shared" si="0"/>
        <v>2.1739130434782608E-2</v>
      </c>
      <c r="G19" s="4">
        <f t="shared" si="2"/>
        <v>2.0217391304347827</v>
      </c>
      <c r="H19" s="2">
        <f t="shared" si="3"/>
        <v>113763.44086021505</v>
      </c>
      <c r="I19" s="2">
        <f t="shared" si="4"/>
        <v>0</v>
      </c>
      <c r="J19" s="2">
        <f t="shared" si="5"/>
        <v>0</v>
      </c>
      <c r="L19" s="4"/>
      <c r="M19" s="2"/>
    </row>
    <row r="20" spans="1:13" x14ac:dyDescent="0.3">
      <c r="A20" s="1">
        <v>19</v>
      </c>
      <c r="B20" s="1">
        <v>47</v>
      </c>
      <c r="C20" s="1">
        <v>3</v>
      </c>
      <c r="D20" s="1">
        <v>0</v>
      </c>
      <c r="E20" s="1">
        <f t="shared" si="1"/>
        <v>3</v>
      </c>
      <c r="F20" s="3">
        <f t="shared" si="0"/>
        <v>3.2608695652173912E-2</v>
      </c>
      <c r="G20" s="4">
        <f t="shared" si="2"/>
        <v>3.0326086956521738</v>
      </c>
      <c r="H20" s="2">
        <f t="shared" si="3"/>
        <v>154982.07885304661</v>
      </c>
      <c r="I20" s="2">
        <f t="shared" si="4"/>
        <v>0</v>
      </c>
      <c r="J20" s="2">
        <f t="shared" si="5"/>
        <v>0</v>
      </c>
      <c r="L20" s="4"/>
      <c r="M20" s="2"/>
    </row>
    <row r="21" spans="1:13" x14ac:dyDescent="0.3">
      <c r="A21" s="1">
        <v>20</v>
      </c>
      <c r="B21" s="1">
        <v>30</v>
      </c>
      <c r="C21" s="1">
        <v>2</v>
      </c>
      <c r="D21" s="1">
        <v>0</v>
      </c>
      <c r="E21" s="1">
        <f t="shared" si="1"/>
        <v>2</v>
      </c>
      <c r="F21" s="3">
        <f t="shared" si="0"/>
        <v>2.1739130434782608E-2</v>
      </c>
      <c r="G21" s="4">
        <f t="shared" si="2"/>
        <v>2.0217391304347827</v>
      </c>
      <c r="H21" s="2">
        <f t="shared" si="3"/>
        <v>148387.09677419355</v>
      </c>
      <c r="I21" s="2">
        <f t="shared" si="4"/>
        <v>0</v>
      </c>
      <c r="J21" s="2">
        <f t="shared" si="5"/>
        <v>0</v>
      </c>
      <c r="L21" s="4"/>
      <c r="M21" s="2"/>
    </row>
    <row r="23" spans="1:13" x14ac:dyDescent="0.3">
      <c r="E23" s="1" t="s">
        <v>9</v>
      </c>
      <c r="H23" s="1" t="s">
        <v>2</v>
      </c>
      <c r="J23" s="1" t="s">
        <v>9</v>
      </c>
    </row>
    <row r="24" spans="1:13" x14ac:dyDescent="0.3">
      <c r="E24" s="1">
        <f>SUM(E2:E21)</f>
        <v>92</v>
      </c>
      <c r="H24" s="2">
        <v>10000</v>
      </c>
      <c r="J24" s="2">
        <f>SUM(J2:J21)</f>
        <v>263175.62724014337</v>
      </c>
      <c r="M24" s="2"/>
    </row>
    <row r="26" spans="1:13" x14ac:dyDescent="0.3">
      <c r="E26" s="1" t="s">
        <v>10</v>
      </c>
      <c r="F26" s="1" t="s">
        <v>11</v>
      </c>
    </row>
    <row r="27" spans="1:13" x14ac:dyDescent="0.3">
      <c r="E27" s="2">
        <v>50000</v>
      </c>
      <c r="F27" s="2">
        <v>100000</v>
      </c>
    </row>
  </sheetData>
  <conditionalFormatting sqref="D2:D21">
    <cfRule type="cellIs" dxfId="2" priority="3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1E39-4D35-4D92-B582-EBBE0E093C75}">
  <sheetPr codeName="Sheet2"/>
  <dimension ref="A1:AN30"/>
  <sheetViews>
    <sheetView showGridLines="0" tabSelected="1" workbookViewId="0">
      <selection activeCell="R34" sqref="R34"/>
    </sheetView>
  </sheetViews>
  <sheetFormatPr defaultRowHeight="14.4" x14ac:dyDescent="0.3"/>
  <cols>
    <col min="1" max="1" width="8.21875" style="1" bestFit="1" customWidth="1"/>
    <col min="2" max="2" width="9.109375" style="1" bestFit="1" customWidth="1"/>
    <col min="3" max="3" width="10.77734375" style="1" bestFit="1" customWidth="1"/>
    <col min="4" max="4" width="8.21875" style="1" bestFit="1" customWidth="1"/>
    <col min="5" max="5" width="10.21875" style="1" customWidth="1"/>
    <col min="6" max="6" width="8" style="1" bestFit="1" customWidth="1"/>
    <col min="7" max="7" width="6.88671875" style="1" bestFit="1" customWidth="1"/>
    <col min="8" max="8" width="15.109375" style="1" bestFit="1" customWidth="1"/>
    <col min="9" max="9" width="9.21875" style="1" bestFit="1" customWidth="1"/>
    <col min="10" max="10" width="10.21875" style="1" bestFit="1" customWidth="1"/>
    <col min="11" max="11" width="2.44140625" style="1" customWidth="1"/>
    <col min="12" max="12" width="11.109375" style="1" bestFit="1" customWidth="1"/>
    <col min="13" max="13" width="7.88671875" style="1" bestFit="1" customWidth="1"/>
    <col min="14" max="14" width="2.44140625" style="1" customWidth="1"/>
    <col min="15" max="15" width="8.21875" style="1" bestFit="1" customWidth="1"/>
    <col min="16" max="16" width="9.109375" style="1" bestFit="1" customWidth="1"/>
    <col min="17" max="17" width="10.77734375" style="1" bestFit="1" customWidth="1"/>
    <col min="18" max="18" width="8" style="1" bestFit="1" customWidth="1"/>
    <col min="19" max="19" width="10.21875" style="1" bestFit="1" customWidth="1"/>
    <col min="20" max="20" width="6.21875" style="1" bestFit="1" customWidth="1"/>
    <col min="21" max="21" width="12.88671875" style="1" bestFit="1" customWidth="1"/>
    <col min="22" max="22" width="11.109375" style="1" bestFit="1" customWidth="1"/>
    <col min="23" max="23" width="2.44140625" style="1" customWidth="1"/>
    <col min="24" max="24" width="8.21875" style="1" bestFit="1" customWidth="1"/>
    <col min="25" max="25" width="9.109375" style="1" bestFit="1" customWidth="1"/>
    <col min="26" max="26" width="10.77734375" style="1" bestFit="1" customWidth="1"/>
    <col min="27" max="27" width="6.88671875" style="1" customWidth="1"/>
    <col min="28" max="28" width="10.21875" style="1" bestFit="1" customWidth="1"/>
    <col min="29" max="29" width="6.21875" style="1" bestFit="1" customWidth="1"/>
    <col min="30" max="30" width="12.88671875" style="1" bestFit="1" customWidth="1"/>
    <col min="31" max="31" width="11.109375" style="1" bestFit="1" customWidth="1"/>
    <col min="32" max="32" width="2.44140625" style="1" customWidth="1"/>
    <col min="33" max="33" width="8.21875" style="1" bestFit="1" customWidth="1"/>
    <col min="34" max="34" width="9.109375" style="1" bestFit="1" customWidth="1"/>
    <col min="35" max="35" width="10.77734375" style="1" bestFit="1" customWidth="1"/>
    <col min="36" max="36" width="6.88671875" style="1" bestFit="1" customWidth="1"/>
    <col min="37" max="37" width="10.21875" style="1" bestFit="1" customWidth="1"/>
    <col min="38" max="38" width="6.21875" style="1" bestFit="1" customWidth="1"/>
    <col min="39" max="39" width="12.88671875" style="1" bestFit="1" customWidth="1"/>
    <col min="40" max="40" width="11.109375" style="1" bestFit="1" customWidth="1"/>
    <col min="41" max="16384" width="8.88671875" style="1"/>
  </cols>
  <sheetData>
    <row r="1" spans="1:40" ht="15" thickBot="1" x14ac:dyDescent="0.35">
      <c r="A1" s="26" t="s">
        <v>3</v>
      </c>
      <c r="B1" s="27" t="s">
        <v>0</v>
      </c>
      <c r="C1" s="27" t="s">
        <v>1</v>
      </c>
      <c r="D1" s="27" t="s">
        <v>5</v>
      </c>
      <c r="E1" s="27" t="s">
        <v>4</v>
      </c>
      <c r="F1" s="27" t="s">
        <v>6</v>
      </c>
      <c r="G1" s="27" t="s">
        <v>7</v>
      </c>
      <c r="H1" s="27" t="s">
        <v>8</v>
      </c>
      <c r="I1" s="27" t="s">
        <v>12</v>
      </c>
      <c r="J1" s="28" t="s">
        <v>13</v>
      </c>
      <c r="L1" s="19" t="s">
        <v>23</v>
      </c>
      <c r="M1" s="46" t="s">
        <v>22</v>
      </c>
      <c r="O1" s="26" t="s">
        <v>3</v>
      </c>
      <c r="P1" s="27" t="s">
        <v>0</v>
      </c>
      <c r="Q1" s="27" t="s">
        <v>1</v>
      </c>
      <c r="R1" s="27" t="s">
        <v>19</v>
      </c>
      <c r="S1" s="27" t="s">
        <v>8</v>
      </c>
      <c r="T1" s="27" t="s">
        <v>14</v>
      </c>
      <c r="U1" s="27" t="s">
        <v>15</v>
      </c>
      <c r="V1" s="28" t="s">
        <v>17</v>
      </c>
      <c r="X1" s="32" t="s">
        <v>3</v>
      </c>
      <c r="Y1" s="33" t="s">
        <v>0</v>
      </c>
      <c r="Z1" s="33" t="s">
        <v>1</v>
      </c>
      <c r="AA1" s="33" t="s">
        <v>7</v>
      </c>
      <c r="AB1" s="33" t="s">
        <v>8</v>
      </c>
      <c r="AC1" s="33" t="s">
        <v>14</v>
      </c>
      <c r="AD1" s="33" t="s">
        <v>15</v>
      </c>
      <c r="AE1" s="34" t="s">
        <v>17</v>
      </c>
      <c r="AG1" s="32" t="s">
        <v>3</v>
      </c>
      <c r="AH1" s="33" t="s">
        <v>0</v>
      </c>
      <c r="AI1" s="33" t="s">
        <v>1</v>
      </c>
      <c r="AJ1" s="33" t="s">
        <v>7</v>
      </c>
      <c r="AK1" s="33" t="s">
        <v>8</v>
      </c>
      <c r="AL1" s="33" t="s">
        <v>14</v>
      </c>
      <c r="AM1" s="33" t="s">
        <v>15</v>
      </c>
      <c r="AN1" s="34" t="s">
        <v>17</v>
      </c>
    </row>
    <row r="2" spans="1:40" x14ac:dyDescent="0.3">
      <c r="A2" s="10">
        <v>1</v>
      </c>
      <c r="B2" s="11">
        <v>80</v>
      </c>
      <c r="C2" s="11">
        <v>6</v>
      </c>
      <c r="D2" s="11">
        <v>1</v>
      </c>
      <c r="E2" s="11">
        <f>C2+IF(D2&gt;0,1,0)</f>
        <v>7</v>
      </c>
      <c r="F2" s="29">
        <f>IF($H$27=1,M2,(_xlfn.XLOOKUP(A2,O:O,V:V)*$V$24+_xlfn.XLOOKUP(A2,X:X,AE:AE)*$AE$24+_xlfn.XLOOKUP(A2,AG:AG,AN:AN)*$AN$24)*100)</f>
        <v>4.6152312215119391</v>
      </c>
      <c r="G2" s="29">
        <f>E2+F2</f>
        <v>11.615231221511939</v>
      </c>
      <c r="H2" s="30">
        <f>($H$24*$B2)/G2</f>
        <v>68875.081756303174</v>
      </c>
      <c r="I2" s="30">
        <f t="shared" ref="I2:I21" si="0">IF(D2=2,$E$27,IF(D2=3,$E$30,0))</f>
        <v>0</v>
      </c>
      <c r="J2" s="31">
        <f>IF(D2&gt;0,H2-I2,0)</f>
        <v>68875.081756303174</v>
      </c>
      <c r="K2" s="2"/>
      <c r="L2" s="38">
        <f>(_xlfn.XLOOKUP(A2,O:O,V:V)*$V$24+_xlfn.XLOOKUP(A2,X:X,AE:AE)*$AE$24+_xlfn.XLOOKUP(A2,AG:AG,AN:AN)*$AN$24)</f>
        <v>4.6152312215119395E-2</v>
      </c>
      <c r="M2" s="47">
        <v>5</v>
      </c>
      <c r="O2" s="10">
        <v>13</v>
      </c>
      <c r="P2" s="11">
        <v>73</v>
      </c>
      <c r="Q2" s="11">
        <v>4</v>
      </c>
      <c r="R2" s="11">
        <v>1</v>
      </c>
      <c r="S2" s="30">
        <f t="shared" ref="S2:S21" si="1">($H$24*$P2)/(Q2+R2)</f>
        <v>146000</v>
      </c>
      <c r="T2" s="11">
        <v>1</v>
      </c>
      <c r="U2" s="35">
        <f t="shared" ref="U2:U21" si="2">EXP( - ((T2-1)^2) / (2 * ($T$24^2)) )</f>
        <v>1</v>
      </c>
      <c r="V2" s="36">
        <f t="shared" ref="V2:V21" si="3">U2/$U$24</f>
        <v>0.23474495740927501</v>
      </c>
      <c r="X2" s="10">
        <v>11</v>
      </c>
      <c r="Y2" s="11">
        <v>17</v>
      </c>
      <c r="Z2" s="11">
        <v>1</v>
      </c>
      <c r="AA2" s="43">
        <v>1.000438139000712</v>
      </c>
      <c r="AB2" s="30">
        <f t="shared" ref="AB2:AB21" si="4">($H$24*$Y2)/AA2</f>
        <v>169925.54898977018</v>
      </c>
      <c r="AC2" s="11">
        <v>1</v>
      </c>
      <c r="AD2" s="35">
        <f t="shared" ref="AD2:AD21" si="5">EXP( - ((AC2-1)^2) / (2 * ($AC$24^2)) )</f>
        <v>1</v>
      </c>
      <c r="AE2" s="40">
        <f t="shared" ref="AE2:AE21" si="6">AD2/$AD$24</f>
        <v>0.18138117085368341</v>
      </c>
      <c r="AG2" s="10">
        <v>4</v>
      </c>
      <c r="AH2" s="11">
        <v>31</v>
      </c>
      <c r="AI2" s="11">
        <v>2</v>
      </c>
      <c r="AJ2" s="43">
        <v>2.9370704415682125</v>
      </c>
      <c r="AK2" s="30">
        <f t="shared" ref="AK2:AK21" si="7">($H$24*$AH2)/AJ2</f>
        <v>105547.34936302016</v>
      </c>
      <c r="AL2" s="11">
        <v>1</v>
      </c>
      <c r="AM2" s="35">
        <f t="shared" ref="AM2:AM21" si="8">EXP( - ((AL2-1)^2) / (2 * ($AC$24^2)) )</f>
        <v>1</v>
      </c>
      <c r="AN2" s="40">
        <f t="shared" ref="AN2:AN21" si="9">AM2/$AD$24</f>
        <v>0.18138117085368341</v>
      </c>
    </row>
    <row r="3" spans="1:40" x14ac:dyDescent="0.3">
      <c r="A3" s="12">
        <v>2</v>
      </c>
      <c r="B3" s="7">
        <v>50</v>
      </c>
      <c r="C3" s="7">
        <v>4</v>
      </c>
      <c r="D3" s="7">
        <v>0</v>
      </c>
      <c r="E3" s="7">
        <f t="shared" ref="E3:E21" si="10">C3+IF(D3&gt;0,1,0)</f>
        <v>4</v>
      </c>
      <c r="F3" s="8">
        <f t="shared" ref="F3:F21" si="11">IF($H$27=1,M3,(_xlfn.XLOOKUP(A3,O:O,V:V)*$V$24+_xlfn.XLOOKUP(A3,X:X,AE:AE)*$AE$24+_xlfn.XLOOKUP(A3,AG:AG,AN:AN)*$AN$24)*100)</f>
        <v>4.3971864197129946</v>
      </c>
      <c r="G3" s="8">
        <f t="shared" ref="G3:G21" si="12">E3+F3</f>
        <v>8.3971864197129946</v>
      </c>
      <c r="H3" s="9">
        <f t="shared" ref="H3:H21" si="13">($H$24*$B3)/G3</f>
        <v>59543.753706147851</v>
      </c>
      <c r="I3" s="9">
        <f t="shared" si="0"/>
        <v>0</v>
      </c>
      <c r="J3" s="17">
        <f t="shared" ref="J3:J21" si="14">IF(D3&gt;0,H3-I3,0)</f>
        <v>0</v>
      </c>
      <c r="K3" s="2"/>
      <c r="L3" s="39">
        <f t="shared" ref="L3:L21" si="15">(_xlfn.XLOOKUP(A3,O:O,V:V)*$V$24+_xlfn.XLOOKUP(A3,X:X,AE:AE)*$AE$24+_xlfn.XLOOKUP(A3,AG:AG,AN:AN)*$AN$24)</f>
        <v>4.3971864197129944E-2</v>
      </c>
      <c r="M3" s="48">
        <v>5</v>
      </c>
      <c r="O3" s="12">
        <v>9</v>
      </c>
      <c r="P3" s="7">
        <v>70</v>
      </c>
      <c r="Q3" s="7">
        <v>4</v>
      </c>
      <c r="R3" s="7">
        <v>1</v>
      </c>
      <c r="S3" s="9">
        <f t="shared" si="1"/>
        <v>140000</v>
      </c>
      <c r="T3" s="7">
        <v>2</v>
      </c>
      <c r="U3" s="21">
        <f t="shared" si="2"/>
        <v>0.94595946890676541</v>
      </c>
      <c r="V3" s="22">
        <f t="shared" si="3"/>
        <v>0.22205921523941907</v>
      </c>
      <c r="X3" s="12">
        <v>12</v>
      </c>
      <c r="Y3" s="7">
        <v>40</v>
      </c>
      <c r="Z3" s="7">
        <v>3</v>
      </c>
      <c r="AA3" s="44">
        <v>3.0907505258488204</v>
      </c>
      <c r="AB3" s="9">
        <f t="shared" si="4"/>
        <v>129418.40392962386</v>
      </c>
      <c r="AC3" s="7">
        <v>2</v>
      </c>
      <c r="AD3" s="21">
        <f t="shared" si="5"/>
        <v>0.96923323447634413</v>
      </c>
      <c r="AE3" s="41">
        <f t="shared" si="6"/>
        <v>0.17580065889962196</v>
      </c>
      <c r="AG3" s="12">
        <v>6</v>
      </c>
      <c r="AH3" s="7">
        <v>89</v>
      </c>
      <c r="AI3" s="7">
        <v>8</v>
      </c>
      <c r="AJ3" s="44">
        <v>9.1090361263871422</v>
      </c>
      <c r="AK3" s="9">
        <f t="shared" si="7"/>
        <v>97705.178424074926</v>
      </c>
      <c r="AL3" s="7">
        <v>2</v>
      </c>
      <c r="AM3" s="21">
        <f t="shared" si="8"/>
        <v>0.96923323447634413</v>
      </c>
      <c r="AN3" s="41">
        <f t="shared" si="9"/>
        <v>0.17580065889962196</v>
      </c>
    </row>
    <row r="4" spans="1:40" x14ac:dyDescent="0.3">
      <c r="A4" s="12">
        <v>3</v>
      </c>
      <c r="B4" s="7">
        <v>83</v>
      </c>
      <c r="C4" s="7">
        <v>7</v>
      </c>
      <c r="D4" s="7">
        <v>0</v>
      </c>
      <c r="E4" s="7">
        <f t="shared" si="10"/>
        <v>7</v>
      </c>
      <c r="F4" s="8">
        <f t="shared" si="11"/>
        <v>4.8502790782518765</v>
      </c>
      <c r="G4" s="8">
        <f t="shared" si="12"/>
        <v>11.850279078251877</v>
      </c>
      <c r="H4" s="9">
        <f t="shared" si="13"/>
        <v>70040.544574452288</v>
      </c>
      <c r="I4" s="9">
        <f t="shared" si="0"/>
        <v>0</v>
      </c>
      <c r="J4" s="17">
        <f t="shared" si="14"/>
        <v>0</v>
      </c>
      <c r="K4" s="2"/>
      <c r="L4" s="39">
        <f t="shared" si="15"/>
        <v>4.8502790782518762E-2</v>
      </c>
      <c r="M4" s="48">
        <v>5</v>
      </c>
      <c r="O4" s="12">
        <v>17</v>
      </c>
      <c r="P4" s="7">
        <v>79</v>
      </c>
      <c r="Q4" s="7">
        <v>5</v>
      </c>
      <c r="R4" s="7">
        <v>1</v>
      </c>
      <c r="S4" s="9">
        <f t="shared" si="1"/>
        <v>131666.66666666666</v>
      </c>
      <c r="T4" s="7">
        <v>3</v>
      </c>
      <c r="U4" s="21">
        <f t="shared" si="2"/>
        <v>0.80073740291680806</v>
      </c>
      <c r="V4" s="22">
        <f t="shared" si="3"/>
        <v>0.18796906754371959</v>
      </c>
      <c r="X4" s="12">
        <v>8</v>
      </c>
      <c r="Y4" s="7">
        <v>37</v>
      </c>
      <c r="Z4" s="7">
        <v>3</v>
      </c>
      <c r="AA4" s="44">
        <v>3.0019636027707799</v>
      </c>
      <c r="AB4" s="9">
        <f t="shared" si="4"/>
        <v>123252.66024494568</v>
      </c>
      <c r="AC4" s="7">
        <v>3</v>
      </c>
      <c r="AD4" s="21">
        <f t="shared" si="5"/>
        <v>0.88249690258459546</v>
      </c>
      <c r="AE4" s="41">
        <f t="shared" si="6"/>
        <v>0.16006832146554292</v>
      </c>
      <c r="AG4" s="12">
        <v>3</v>
      </c>
      <c r="AH4" s="7">
        <v>83</v>
      </c>
      <c r="AI4" s="7">
        <v>7</v>
      </c>
      <c r="AJ4" s="44">
        <v>8.9093064443730245</v>
      </c>
      <c r="AK4" s="9">
        <f t="shared" si="7"/>
        <v>93161.011486389572</v>
      </c>
      <c r="AL4" s="7">
        <v>3</v>
      </c>
      <c r="AM4" s="21">
        <f t="shared" si="8"/>
        <v>0.88249690258459546</v>
      </c>
      <c r="AN4" s="41">
        <f t="shared" si="9"/>
        <v>0.16006832146554292</v>
      </c>
    </row>
    <row r="5" spans="1:40" x14ac:dyDescent="0.3">
      <c r="A5" s="12">
        <v>4</v>
      </c>
      <c r="B5" s="7">
        <v>31</v>
      </c>
      <c r="C5" s="7">
        <v>2</v>
      </c>
      <c r="D5" s="7">
        <v>0</v>
      </c>
      <c r="E5" s="7">
        <f t="shared" si="10"/>
        <v>2</v>
      </c>
      <c r="F5" s="8">
        <f t="shared" si="11"/>
        <v>4.5231285061263646</v>
      </c>
      <c r="G5" s="8">
        <f t="shared" si="12"/>
        <v>6.5231285061263646</v>
      </c>
      <c r="H5" s="9">
        <f t="shared" si="13"/>
        <v>47523.209102634646</v>
      </c>
      <c r="I5" s="9">
        <f t="shared" si="0"/>
        <v>0</v>
      </c>
      <c r="J5" s="17">
        <f t="shared" si="14"/>
        <v>0</v>
      </c>
      <c r="K5" s="2"/>
      <c r="L5" s="39">
        <f t="shared" si="15"/>
        <v>4.5231285061263643E-2</v>
      </c>
      <c r="M5" s="48">
        <v>5</v>
      </c>
      <c r="O5" s="12">
        <v>5</v>
      </c>
      <c r="P5" s="7">
        <v>60</v>
      </c>
      <c r="Q5" s="7">
        <v>4</v>
      </c>
      <c r="R5" s="7">
        <v>1</v>
      </c>
      <c r="S5" s="9">
        <f t="shared" si="1"/>
        <v>120000</v>
      </c>
      <c r="T5" s="7">
        <v>4</v>
      </c>
      <c r="U5" s="21">
        <f t="shared" si="2"/>
        <v>0.60653065971263342</v>
      </c>
      <c r="V5" s="22">
        <f t="shared" si="3"/>
        <v>0.1423800138816616</v>
      </c>
      <c r="X5" s="12">
        <v>2</v>
      </c>
      <c r="Y5" s="7">
        <v>50</v>
      </c>
      <c r="Z5" s="7">
        <v>4</v>
      </c>
      <c r="AA5" s="44">
        <v>4.2607780919229477</v>
      </c>
      <c r="AB5" s="9">
        <f t="shared" si="4"/>
        <v>117349.45805974682</v>
      </c>
      <c r="AC5" s="7">
        <v>4</v>
      </c>
      <c r="AD5" s="21">
        <f t="shared" si="5"/>
        <v>0.75483960198900735</v>
      </c>
      <c r="AE5" s="41">
        <f t="shared" si="6"/>
        <v>0.13691369081549454</v>
      </c>
      <c r="AG5" s="12">
        <v>20</v>
      </c>
      <c r="AH5" s="7">
        <v>30</v>
      </c>
      <c r="AI5" s="7">
        <v>2</v>
      </c>
      <c r="AJ5" s="44">
        <v>3.2851802943945163</v>
      </c>
      <c r="AK5" s="9">
        <f t="shared" si="7"/>
        <v>91319.188938241292</v>
      </c>
      <c r="AL5" s="7">
        <v>4</v>
      </c>
      <c r="AM5" s="21">
        <f t="shared" si="8"/>
        <v>0.75483960198900735</v>
      </c>
      <c r="AN5" s="41">
        <f t="shared" si="9"/>
        <v>0.13691369081549454</v>
      </c>
    </row>
    <row r="6" spans="1:40" x14ac:dyDescent="0.3">
      <c r="A6" s="12">
        <v>5</v>
      </c>
      <c r="B6" s="7">
        <v>60</v>
      </c>
      <c r="C6" s="7">
        <v>4</v>
      </c>
      <c r="D6" s="7">
        <v>0</v>
      </c>
      <c r="E6" s="7">
        <f t="shared" si="10"/>
        <v>4</v>
      </c>
      <c r="F6" s="8">
        <f t="shared" si="11"/>
        <v>7.1599508158115901</v>
      </c>
      <c r="G6" s="8">
        <f t="shared" si="12"/>
        <v>11.159950815811591</v>
      </c>
      <c r="H6" s="9">
        <f t="shared" si="13"/>
        <v>53763.677806707776</v>
      </c>
      <c r="I6" s="9">
        <f t="shared" si="0"/>
        <v>0</v>
      </c>
      <c r="J6" s="17">
        <f t="shared" si="14"/>
        <v>0</v>
      </c>
      <c r="K6" s="2"/>
      <c r="L6" s="39">
        <f t="shared" si="15"/>
        <v>7.1599508158115902E-2</v>
      </c>
      <c r="M6" s="48">
        <v>10</v>
      </c>
      <c r="O6" s="12">
        <v>19</v>
      </c>
      <c r="P6" s="7">
        <v>47</v>
      </c>
      <c r="Q6" s="7">
        <v>3</v>
      </c>
      <c r="R6" s="7">
        <v>1</v>
      </c>
      <c r="S6" s="9">
        <f t="shared" si="1"/>
        <v>117500</v>
      </c>
      <c r="T6" s="7">
        <v>5</v>
      </c>
      <c r="U6" s="21">
        <f t="shared" si="2"/>
        <v>0.41111229050718745</v>
      </c>
      <c r="V6" s="22">
        <f t="shared" si="3"/>
        <v>9.6506537125539221E-2</v>
      </c>
      <c r="X6" s="12">
        <v>18</v>
      </c>
      <c r="Y6" s="7">
        <v>23</v>
      </c>
      <c r="Z6" s="7">
        <v>2</v>
      </c>
      <c r="AA6" s="44">
        <v>2.0000156301677965</v>
      </c>
      <c r="AB6" s="9">
        <f t="shared" si="4"/>
        <v>114999.10127237534</v>
      </c>
      <c r="AC6" s="7">
        <v>5</v>
      </c>
      <c r="AD6" s="21">
        <f t="shared" si="5"/>
        <v>0.60653065971263342</v>
      </c>
      <c r="AE6" s="41">
        <f t="shared" si="6"/>
        <v>0.11001324121733448</v>
      </c>
      <c r="AG6" s="12">
        <v>10</v>
      </c>
      <c r="AH6" s="7">
        <v>90</v>
      </c>
      <c r="AI6" s="7">
        <v>10</v>
      </c>
      <c r="AJ6" s="44">
        <v>10.036352699121938</v>
      </c>
      <c r="AK6" s="9">
        <f t="shared" si="7"/>
        <v>89674.010766753883</v>
      </c>
      <c r="AL6" s="7">
        <v>5</v>
      </c>
      <c r="AM6" s="21">
        <f t="shared" si="8"/>
        <v>0.60653065971263342</v>
      </c>
      <c r="AN6" s="41">
        <f t="shared" si="9"/>
        <v>0.11001324121733448</v>
      </c>
    </row>
    <row r="7" spans="1:40" x14ac:dyDescent="0.3">
      <c r="A7" s="12">
        <v>6</v>
      </c>
      <c r="B7" s="7">
        <v>89</v>
      </c>
      <c r="C7" s="7">
        <v>8</v>
      </c>
      <c r="D7" s="7">
        <v>2</v>
      </c>
      <c r="E7" s="7">
        <f t="shared" si="10"/>
        <v>9</v>
      </c>
      <c r="F7" s="8">
        <f t="shared" si="11"/>
        <v>3.9528684913230876</v>
      </c>
      <c r="G7" s="8">
        <f t="shared" si="12"/>
        <v>12.952868491323088</v>
      </c>
      <c r="H7" s="9">
        <f t="shared" si="13"/>
        <v>68710.648965223125</v>
      </c>
      <c r="I7" s="9">
        <f t="shared" si="0"/>
        <v>50000</v>
      </c>
      <c r="J7" s="17">
        <f t="shared" si="14"/>
        <v>18710.648965223125</v>
      </c>
      <c r="K7" s="2"/>
      <c r="L7" s="39">
        <f t="shared" si="15"/>
        <v>3.9528684913230874E-2</v>
      </c>
      <c r="M7" s="48">
        <v>5</v>
      </c>
      <c r="O7" s="12">
        <v>1</v>
      </c>
      <c r="P7" s="7">
        <v>80</v>
      </c>
      <c r="Q7" s="7">
        <v>6</v>
      </c>
      <c r="R7" s="7">
        <v>1</v>
      </c>
      <c r="S7" s="9">
        <f t="shared" si="1"/>
        <v>114285.71428571429</v>
      </c>
      <c r="T7" s="7">
        <v>6</v>
      </c>
      <c r="U7" s="21">
        <f t="shared" si="2"/>
        <v>0.24935220877729622</v>
      </c>
      <c r="V7" s="22">
        <f t="shared" si="3"/>
        <v>5.8534173629335051E-2</v>
      </c>
      <c r="X7" s="12">
        <v>16</v>
      </c>
      <c r="Y7" s="7">
        <v>41</v>
      </c>
      <c r="Z7" s="7">
        <v>3</v>
      </c>
      <c r="AA7" s="44">
        <v>3.6705607265043891</v>
      </c>
      <c r="AB7" s="9">
        <f t="shared" si="4"/>
        <v>111699.55506783242</v>
      </c>
      <c r="AC7" s="7">
        <v>6</v>
      </c>
      <c r="AD7" s="21">
        <f t="shared" si="5"/>
        <v>0.45783336177161427</v>
      </c>
      <c r="AE7" s="41">
        <f t="shared" si="6"/>
        <v>8.3042351214013418E-2</v>
      </c>
      <c r="AG7" s="12">
        <v>1</v>
      </c>
      <c r="AH7" s="7">
        <v>80</v>
      </c>
      <c r="AI7" s="7">
        <v>6</v>
      </c>
      <c r="AJ7" s="44">
        <v>9.5128358588684154</v>
      </c>
      <c r="AK7" s="9">
        <f t="shared" si="7"/>
        <v>84096.899375615074</v>
      </c>
      <c r="AL7" s="7">
        <v>6</v>
      </c>
      <c r="AM7" s="21">
        <f t="shared" si="8"/>
        <v>0.45783336177161427</v>
      </c>
      <c r="AN7" s="41">
        <f t="shared" si="9"/>
        <v>8.3042351214013418E-2</v>
      </c>
    </row>
    <row r="8" spans="1:40" x14ac:dyDescent="0.3">
      <c r="A8" s="12">
        <v>7</v>
      </c>
      <c r="B8" s="7">
        <v>10</v>
      </c>
      <c r="C8" s="7">
        <v>1</v>
      </c>
      <c r="D8" s="7">
        <v>0</v>
      </c>
      <c r="E8" s="7">
        <f t="shared" si="10"/>
        <v>1</v>
      </c>
      <c r="F8" s="8">
        <f t="shared" si="11"/>
        <v>1.7850257062280286</v>
      </c>
      <c r="G8" s="8">
        <f t="shared" si="12"/>
        <v>2.7850257062280286</v>
      </c>
      <c r="H8" s="9">
        <f t="shared" si="13"/>
        <v>35906.311304909847</v>
      </c>
      <c r="I8" s="9">
        <f t="shared" si="0"/>
        <v>0</v>
      </c>
      <c r="J8" s="17">
        <f t="shared" si="14"/>
        <v>0</v>
      </c>
      <c r="K8" s="2"/>
      <c r="L8" s="39">
        <f t="shared" si="15"/>
        <v>1.7850257062280286E-2</v>
      </c>
      <c r="M8" s="48">
        <v>0</v>
      </c>
      <c r="O8" s="12">
        <v>3</v>
      </c>
      <c r="P8" s="7">
        <v>83</v>
      </c>
      <c r="Q8" s="7">
        <v>7</v>
      </c>
      <c r="R8" s="7">
        <v>1</v>
      </c>
      <c r="S8" s="9">
        <f t="shared" si="1"/>
        <v>103750</v>
      </c>
      <c r="T8" s="7">
        <v>7</v>
      </c>
      <c r="U8" s="21">
        <f t="shared" si="2"/>
        <v>0.1353352832366127</v>
      </c>
      <c r="V8" s="22">
        <f t="shared" si="3"/>
        <v>3.1769275299350822E-2</v>
      </c>
      <c r="X8" s="12">
        <v>7</v>
      </c>
      <c r="Y8" s="7">
        <v>10</v>
      </c>
      <c r="Z8" s="7">
        <v>1</v>
      </c>
      <c r="AA8" s="44">
        <v>1.0000000457698155</v>
      </c>
      <c r="AB8" s="9">
        <f t="shared" si="4"/>
        <v>99999.995423018656</v>
      </c>
      <c r="AC8" s="7">
        <v>7</v>
      </c>
      <c r="AD8" s="21">
        <f t="shared" si="5"/>
        <v>0.32465246735834974</v>
      </c>
      <c r="AE8" s="41">
        <f t="shared" si="6"/>
        <v>5.8885844649994711E-2</v>
      </c>
      <c r="AG8" s="12">
        <v>15</v>
      </c>
      <c r="AH8" s="7">
        <v>20</v>
      </c>
      <c r="AI8" s="7">
        <v>2</v>
      </c>
      <c r="AJ8" s="44">
        <v>2.6171791253948253</v>
      </c>
      <c r="AK8" s="9">
        <f t="shared" si="7"/>
        <v>76418.154974328776</v>
      </c>
      <c r="AL8" s="7">
        <v>7</v>
      </c>
      <c r="AM8" s="21">
        <f t="shared" si="8"/>
        <v>0.32465246735834974</v>
      </c>
      <c r="AN8" s="41">
        <f t="shared" si="9"/>
        <v>5.8885844649994711E-2</v>
      </c>
    </row>
    <row r="9" spans="1:40" x14ac:dyDescent="0.3">
      <c r="A9" s="12">
        <v>8</v>
      </c>
      <c r="B9" s="7">
        <v>37</v>
      </c>
      <c r="C9" s="7">
        <v>3</v>
      </c>
      <c r="D9" s="7">
        <v>0</v>
      </c>
      <c r="E9" s="7">
        <f t="shared" si="10"/>
        <v>3</v>
      </c>
      <c r="F9" s="8">
        <f t="shared" si="11"/>
        <v>4.8034653558491405</v>
      </c>
      <c r="G9" s="8">
        <f t="shared" si="12"/>
        <v>7.8034653558491405</v>
      </c>
      <c r="H9" s="9">
        <f t="shared" si="13"/>
        <v>47414.832145396016</v>
      </c>
      <c r="I9" s="9">
        <f t="shared" si="0"/>
        <v>0</v>
      </c>
      <c r="J9" s="17">
        <f t="shared" si="14"/>
        <v>0</v>
      </c>
      <c r="K9" s="2"/>
      <c r="L9" s="39">
        <f t="shared" si="15"/>
        <v>4.8034653558491403E-2</v>
      </c>
      <c r="M9" s="48">
        <v>5</v>
      </c>
      <c r="O9" s="12">
        <v>4</v>
      </c>
      <c r="P9" s="7">
        <v>31</v>
      </c>
      <c r="Q9" s="7">
        <v>2</v>
      </c>
      <c r="R9" s="7">
        <v>1</v>
      </c>
      <c r="S9" s="9">
        <f t="shared" si="1"/>
        <v>103333.33333333333</v>
      </c>
      <c r="T9" s="7">
        <v>8</v>
      </c>
      <c r="U9" s="21">
        <f t="shared" si="2"/>
        <v>6.5728528616530474E-2</v>
      </c>
      <c r="V9" s="22">
        <f t="shared" si="3"/>
        <v>1.542944065066176E-2</v>
      </c>
      <c r="X9" s="12">
        <v>15</v>
      </c>
      <c r="Y9" s="7">
        <v>20</v>
      </c>
      <c r="Z9" s="7">
        <v>2</v>
      </c>
      <c r="AA9" s="44">
        <v>2.0000024989472585</v>
      </c>
      <c r="AB9" s="9">
        <f t="shared" si="4"/>
        <v>99999.875052793199</v>
      </c>
      <c r="AC9" s="7">
        <v>8</v>
      </c>
      <c r="AD9" s="21">
        <f t="shared" si="5"/>
        <v>0.21626516682988731</v>
      </c>
      <c r="AE9" s="41">
        <f t="shared" si="6"/>
        <v>3.9226429174472138E-2</v>
      </c>
      <c r="AG9" s="12">
        <v>16</v>
      </c>
      <c r="AH9" s="7">
        <v>41</v>
      </c>
      <c r="AI9" s="7">
        <v>3</v>
      </c>
      <c r="AJ9" s="44">
        <v>5.7437033810760356</v>
      </c>
      <c r="AK9" s="9">
        <f t="shared" si="7"/>
        <v>71382.516261344586</v>
      </c>
      <c r="AL9" s="7">
        <v>8</v>
      </c>
      <c r="AM9" s="21">
        <f t="shared" si="8"/>
        <v>0.21626516682988731</v>
      </c>
      <c r="AN9" s="41">
        <f t="shared" si="9"/>
        <v>3.9226429174472138E-2</v>
      </c>
    </row>
    <row r="10" spans="1:40" x14ac:dyDescent="0.3">
      <c r="A10" s="12">
        <v>9</v>
      </c>
      <c r="B10" s="7">
        <v>70</v>
      </c>
      <c r="C10" s="7">
        <v>4</v>
      </c>
      <c r="D10" s="7">
        <v>0</v>
      </c>
      <c r="E10" s="7">
        <f t="shared" si="10"/>
        <v>4</v>
      </c>
      <c r="F10" s="8">
        <f t="shared" si="11"/>
        <v>11.111114168692465</v>
      </c>
      <c r="G10" s="8">
        <f t="shared" si="12"/>
        <v>15.111114168692465</v>
      </c>
      <c r="H10" s="9">
        <f t="shared" si="13"/>
        <v>46323.52003866632</v>
      </c>
      <c r="I10" s="9">
        <f t="shared" si="0"/>
        <v>0</v>
      </c>
      <c r="J10" s="17">
        <f t="shared" si="14"/>
        <v>0</v>
      </c>
      <c r="K10" s="2"/>
      <c r="L10" s="39">
        <f t="shared" si="15"/>
        <v>0.11111114168692465</v>
      </c>
      <c r="M10" s="49">
        <v>10</v>
      </c>
      <c r="O10" s="12">
        <v>16</v>
      </c>
      <c r="P10" s="7">
        <v>41</v>
      </c>
      <c r="Q10" s="7">
        <v>3</v>
      </c>
      <c r="R10" s="7">
        <v>1</v>
      </c>
      <c r="S10" s="9">
        <f t="shared" si="1"/>
        <v>102500</v>
      </c>
      <c r="T10" s="7">
        <v>9</v>
      </c>
      <c r="U10" s="21">
        <f t="shared" si="2"/>
        <v>2.8565500784550377E-2</v>
      </c>
      <c r="V10" s="22">
        <f t="shared" si="3"/>
        <v>6.7056072650438902E-3</v>
      </c>
      <c r="X10" s="12">
        <v>20</v>
      </c>
      <c r="Y10" s="7">
        <v>30</v>
      </c>
      <c r="Z10" s="7">
        <v>2</v>
      </c>
      <c r="AA10" s="44">
        <v>3.0282600063212675</v>
      </c>
      <c r="AB10" s="9">
        <f t="shared" si="4"/>
        <v>99066.790623583292</v>
      </c>
      <c r="AC10" s="7">
        <v>9</v>
      </c>
      <c r="AD10" s="21">
        <f t="shared" si="5"/>
        <v>0.1353352832366127</v>
      </c>
      <c r="AE10" s="41">
        <f t="shared" si="6"/>
        <v>2.4547272131271683E-2</v>
      </c>
      <c r="AG10" s="12">
        <v>14</v>
      </c>
      <c r="AH10" s="7">
        <v>100</v>
      </c>
      <c r="AI10" s="7">
        <v>15</v>
      </c>
      <c r="AJ10" s="44">
        <v>15.000175470109941</v>
      </c>
      <c r="AK10" s="9">
        <f t="shared" si="7"/>
        <v>66665.886808634154</v>
      </c>
      <c r="AL10" s="7">
        <v>9</v>
      </c>
      <c r="AM10" s="21">
        <f t="shared" si="8"/>
        <v>0.1353352832366127</v>
      </c>
      <c r="AN10" s="41">
        <f t="shared" si="9"/>
        <v>2.4547272131271683E-2</v>
      </c>
    </row>
    <row r="11" spans="1:40" x14ac:dyDescent="0.3">
      <c r="A11" s="12">
        <v>10</v>
      </c>
      <c r="B11" s="7">
        <v>90</v>
      </c>
      <c r="C11" s="7">
        <v>10</v>
      </c>
      <c r="D11" s="7">
        <v>0</v>
      </c>
      <c r="E11" s="7">
        <f t="shared" si="10"/>
        <v>10</v>
      </c>
      <c r="F11" s="8">
        <f t="shared" si="11"/>
        <v>2.439388538928724</v>
      </c>
      <c r="G11" s="8">
        <f t="shared" si="12"/>
        <v>12.439388538928725</v>
      </c>
      <c r="H11" s="9">
        <f t="shared" si="13"/>
        <v>72350.823127959608</v>
      </c>
      <c r="I11" s="9">
        <f t="shared" si="0"/>
        <v>0</v>
      </c>
      <c r="J11" s="17">
        <f t="shared" si="14"/>
        <v>0</v>
      </c>
      <c r="K11" s="2"/>
      <c r="L11" s="39">
        <f t="shared" si="15"/>
        <v>2.4393885389287242E-2</v>
      </c>
      <c r="M11" s="48">
        <v>0</v>
      </c>
      <c r="O11" s="12">
        <v>2</v>
      </c>
      <c r="P11" s="7">
        <v>50</v>
      </c>
      <c r="Q11" s="7">
        <v>4</v>
      </c>
      <c r="R11" s="7">
        <v>1</v>
      </c>
      <c r="S11" s="9">
        <f t="shared" si="1"/>
        <v>100000</v>
      </c>
      <c r="T11" s="7">
        <v>10</v>
      </c>
      <c r="U11" s="21">
        <f t="shared" si="2"/>
        <v>1.1108996538242306E-2</v>
      </c>
      <c r="V11" s="22">
        <f t="shared" si="3"/>
        <v>2.6077809192294739E-3</v>
      </c>
      <c r="X11" s="12">
        <v>6</v>
      </c>
      <c r="Y11" s="7">
        <v>89</v>
      </c>
      <c r="Z11" s="7">
        <v>8</v>
      </c>
      <c r="AA11" s="44">
        <v>9.007874816029938</v>
      </c>
      <c r="AB11" s="9">
        <f t="shared" si="4"/>
        <v>98802.438774593436</v>
      </c>
      <c r="AC11" s="7">
        <v>10</v>
      </c>
      <c r="AD11" s="21">
        <f t="shared" si="5"/>
        <v>7.9559508718227687E-2</v>
      </c>
      <c r="AE11" s="41">
        <f t="shared" si="6"/>
        <v>1.443059684385597E-2</v>
      </c>
      <c r="AG11" s="12">
        <v>19</v>
      </c>
      <c r="AH11" s="7">
        <v>47</v>
      </c>
      <c r="AI11" s="7">
        <v>3</v>
      </c>
      <c r="AJ11" s="44">
        <v>8.7904272200539602</v>
      </c>
      <c r="AK11" s="9">
        <f t="shared" si="7"/>
        <v>53467.253437667947</v>
      </c>
      <c r="AL11" s="7">
        <v>10</v>
      </c>
      <c r="AM11" s="21">
        <f t="shared" si="8"/>
        <v>7.9559508718227687E-2</v>
      </c>
      <c r="AN11" s="41">
        <f t="shared" si="9"/>
        <v>1.443059684385597E-2</v>
      </c>
    </row>
    <row r="12" spans="1:40" x14ac:dyDescent="0.3">
      <c r="A12" s="12">
        <v>11</v>
      </c>
      <c r="B12" s="7">
        <v>17</v>
      </c>
      <c r="C12" s="7">
        <v>1</v>
      </c>
      <c r="D12" s="7">
        <v>0</v>
      </c>
      <c r="E12" s="7">
        <f t="shared" si="10"/>
        <v>1</v>
      </c>
      <c r="F12" s="8">
        <f t="shared" si="11"/>
        <v>5.4416999289408201</v>
      </c>
      <c r="G12" s="8">
        <f t="shared" si="12"/>
        <v>6.4416999289408201</v>
      </c>
      <c r="H12" s="9">
        <f t="shared" si="13"/>
        <v>26390.549369776734</v>
      </c>
      <c r="I12" s="9">
        <f t="shared" si="0"/>
        <v>0</v>
      </c>
      <c r="J12" s="17">
        <f t="shared" si="14"/>
        <v>0</v>
      </c>
      <c r="K12" s="2"/>
      <c r="L12" s="39">
        <f t="shared" si="15"/>
        <v>5.4416999289408199E-2</v>
      </c>
      <c r="M12" s="48">
        <v>5</v>
      </c>
      <c r="O12" s="12">
        <v>12</v>
      </c>
      <c r="P12" s="7">
        <v>40</v>
      </c>
      <c r="Q12" s="7">
        <v>3</v>
      </c>
      <c r="R12" s="7">
        <v>1</v>
      </c>
      <c r="S12" s="9">
        <f t="shared" si="1"/>
        <v>100000</v>
      </c>
      <c r="T12" s="7">
        <v>11</v>
      </c>
      <c r="U12" s="21">
        <f t="shared" si="2"/>
        <v>3.8659201394728076E-3</v>
      </c>
      <c r="V12" s="22">
        <f t="shared" si="3"/>
        <v>9.075052584882027E-4</v>
      </c>
      <c r="X12" s="12">
        <v>10</v>
      </c>
      <c r="Y12" s="7">
        <v>90</v>
      </c>
      <c r="Z12" s="7">
        <v>10</v>
      </c>
      <c r="AA12" s="44">
        <v>10.000087481304016</v>
      </c>
      <c r="AB12" s="9">
        <f t="shared" si="4"/>
        <v>89999.212675151473</v>
      </c>
      <c r="AC12" s="7">
        <v>11</v>
      </c>
      <c r="AD12" s="21">
        <f t="shared" si="5"/>
        <v>4.393693362340742E-2</v>
      </c>
      <c r="AE12" s="41">
        <f t="shared" si="6"/>
        <v>7.9693324643342091E-3</v>
      </c>
      <c r="AG12" s="12">
        <v>2</v>
      </c>
      <c r="AH12" s="7">
        <v>50</v>
      </c>
      <c r="AI12" s="7">
        <v>4</v>
      </c>
      <c r="AJ12" s="44">
        <v>9.8516674104202338</v>
      </c>
      <c r="AK12" s="9">
        <f t="shared" si="7"/>
        <v>50752.829868286426</v>
      </c>
      <c r="AL12" s="7">
        <v>11</v>
      </c>
      <c r="AM12" s="21">
        <f t="shared" si="8"/>
        <v>4.393693362340742E-2</v>
      </c>
      <c r="AN12" s="41">
        <f t="shared" si="9"/>
        <v>7.9693324643342091E-3</v>
      </c>
    </row>
    <row r="13" spans="1:40" x14ac:dyDescent="0.3">
      <c r="A13" s="12">
        <v>12</v>
      </c>
      <c r="B13" s="7">
        <v>40</v>
      </c>
      <c r="C13" s="7">
        <v>3</v>
      </c>
      <c r="D13" s="7">
        <v>0</v>
      </c>
      <c r="E13" s="7">
        <f t="shared" si="10"/>
        <v>3</v>
      </c>
      <c r="F13" s="8">
        <f t="shared" si="11"/>
        <v>5.319540371724103</v>
      </c>
      <c r="G13" s="8">
        <f t="shared" si="12"/>
        <v>8.3195403717241021</v>
      </c>
      <c r="H13" s="9">
        <f t="shared" si="13"/>
        <v>48079.579174769467</v>
      </c>
      <c r="I13" s="9">
        <f t="shared" si="0"/>
        <v>0</v>
      </c>
      <c r="J13" s="17">
        <f t="shared" si="14"/>
        <v>0</v>
      </c>
      <c r="K13" s="2"/>
      <c r="L13" s="39">
        <f t="shared" si="15"/>
        <v>5.3195403717241033E-2</v>
      </c>
      <c r="M13" s="48">
        <v>5</v>
      </c>
      <c r="O13" s="12">
        <v>20</v>
      </c>
      <c r="P13" s="7">
        <v>30</v>
      </c>
      <c r="Q13" s="7">
        <v>2</v>
      </c>
      <c r="R13" s="7">
        <v>1</v>
      </c>
      <c r="S13" s="9">
        <f t="shared" si="1"/>
        <v>100000</v>
      </c>
      <c r="T13" s="7">
        <v>12</v>
      </c>
      <c r="U13" s="21">
        <f t="shared" si="2"/>
        <v>1.2038599948282029E-3</v>
      </c>
      <c r="V13" s="22">
        <f t="shared" si="3"/>
        <v>2.8260006321267656E-4</v>
      </c>
      <c r="X13" s="12">
        <v>4</v>
      </c>
      <c r="Y13" s="7">
        <v>31</v>
      </c>
      <c r="Z13" s="7">
        <v>2</v>
      </c>
      <c r="AA13" s="44">
        <v>3.5429440650661759</v>
      </c>
      <c r="AB13" s="9">
        <f t="shared" si="4"/>
        <v>87497.853284401135</v>
      </c>
      <c r="AC13" s="7">
        <v>12</v>
      </c>
      <c r="AD13" s="21">
        <f t="shared" si="5"/>
        <v>2.2794180883612344E-2</v>
      </c>
      <c r="AE13" s="41">
        <f t="shared" si="6"/>
        <v>4.1344352173202543E-3</v>
      </c>
      <c r="AG13" s="12">
        <v>17</v>
      </c>
      <c r="AH13" s="7">
        <v>79</v>
      </c>
      <c r="AI13" s="7">
        <v>5</v>
      </c>
      <c r="AJ13" s="44">
        <v>16.278150304690293</v>
      </c>
      <c r="AK13" s="9">
        <f t="shared" si="7"/>
        <v>48531.312539384402</v>
      </c>
      <c r="AL13" s="7">
        <v>12</v>
      </c>
      <c r="AM13" s="21">
        <f t="shared" si="8"/>
        <v>2.2794180883612344E-2</v>
      </c>
      <c r="AN13" s="41">
        <f t="shared" si="9"/>
        <v>4.1344352173202543E-3</v>
      </c>
    </row>
    <row r="14" spans="1:40" x14ac:dyDescent="0.3">
      <c r="A14" s="12">
        <v>13</v>
      </c>
      <c r="B14" s="7">
        <v>73</v>
      </c>
      <c r="C14" s="7">
        <v>4</v>
      </c>
      <c r="D14" s="7">
        <v>0</v>
      </c>
      <c r="E14" s="7">
        <f t="shared" si="10"/>
        <v>4</v>
      </c>
      <c r="F14" s="8">
        <f t="shared" si="11"/>
        <v>11.740522660216355</v>
      </c>
      <c r="G14" s="8">
        <f>E14+F14</f>
        <v>15.740522660216355</v>
      </c>
      <c r="H14" s="9">
        <f>($H$24*$B14)/G14</f>
        <v>46377.113121221228</v>
      </c>
      <c r="I14" s="9">
        <f t="shared" si="0"/>
        <v>0</v>
      </c>
      <c r="J14" s="17">
        <f>IF(D14&gt;0,H14-I14,0)</f>
        <v>0</v>
      </c>
      <c r="K14" s="2"/>
      <c r="L14" s="39">
        <f t="shared" si="15"/>
        <v>0.11740522660216356</v>
      </c>
      <c r="M14" s="49">
        <v>10</v>
      </c>
      <c r="O14" s="12">
        <v>6</v>
      </c>
      <c r="P14" s="7">
        <v>89</v>
      </c>
      <c r="Q14" s="7">
        <v>8</v>
      </c>
      <c r="R14" s="7">
        <v>1</v>
      </c>
      <c r="S14" s="9">
        <f t="shared" si="1"/>
        <v>98888.888888888891</v>
      </c>
      <c r="T14" s="7">
        <v>13</v>
      </c>
      <c r="U14" s="21">
        <f t="shared" si="2"/>
        <v>3.3546262790251185E-4</v>
      </c>
      <c r="V14" s="22">
        <f t="shared" si="3"/>
        <v>7.8748160299378615E-5</v>
      </c>
      <c r="X14" s="12">
        <v>3</v>
      </c>
      <c r="Y14" s="7">
        <v>83</v>
      </c>
      <c r="Z14" s="7">
        <v>7</v>
      </c>
      <c r="AA14" s="44">
        <v>10.176927529935082</v>
      </c>
      <c r="AB14" s="9">
        <f t="shared" si="4"/>
        <v>81557.031585277931</v>
      </c>
      <c r="AC14" s="7">
        <v>13</v>
      </c>
      <c r="AD14" s="21">
        <f t="shared" si="5"/>
        <v>1.1108996538242306E-2</v>
      </c>
      <c r="AE14" s="41">
        <f t="shared" si="6"/>
        <v>2.0149627991159053E-3</v>
      </c>
      <c r="AG14" s="12">
        <v>5</v>
      </c>
      <c r="AH14" s="7">
        <v>60</v>
      </c>
      <c r="AI14" s="7">
        <v>4</v>
      </c>
      <c r="AJ14" s="44">
        <v>12.542801832478599</v>
      </c>
      <c r="AK14" s="9">
        <f t="shared" si="7"/>
        <v>47836.201832221188</v>
      </c>
      <c r="AL14" s="7">
        <v>13</v>
      </c>
      <c r="AM14" s="21">
        <f t="shared" si="8"/>
        <v>1.1108996538242306E-2</v>
      </c>
      <c r="AN14" s="41">
        <f t="shared" si="9"/>
        <v>2.0149627991159053E-3</v>
      </c>
    </row>
    <row r="15" spans="1:40" x14ac:dyDescent="0.3">
      <c r="A15" s="12">
        <v>14</v>
      </c>
      <c r="B15" s="7">
        <v>100</v>
      </c>
      <c r="C15" s="7">
        <v>15</v>
      </c>
      <c r="D15" s="7">
        <v>0</v>
      </c>
      <c r="E15" s="7">
        <f t="shared" si="10"/>
        <v>15</v>
      </c>
      <c r="F15" s="8">
        <f t="shared" si="11"/>
        <v>0.50284871239092244</v>
      </c>
      <c r="G15" s="8">
        <f t="shared" si="12"/>
        <v>15.502848712390922</v>
      </c>
      <c r="H15" s="9">
        <f t="shared" si="13"/>
        <v>64504.273927457769</v>
      </c>
      <c r="I15" s="9">
        <f t="shared" si="0"/>
        <v>0</v>
      </c>
      <c r="J15" s="17">
        <f t="shared" si="14"/>
        <v>0</v>
      </c>
      <c r="K15" s="2"/>
      <c r="L15" s="39">
        <f t="shared" si="15"/>
        <v>5.0284871239092239E-3</v>
      </c>
      <c r="M15" s="48">
        <v>0</v>
      </c>
      <c r="O15" s="12">
        <v>8</v>
      </c>
      <c r="P15" s="7">
        <v>37</v>
      </c>
      <c r="Q15" s="7">
        <v>3</v>
      </c>
      <c r="R15" s="7">
        <v>1</v>
      </c>
      <c r="S15" s="9">
        <f t="shared" si="1"/>
        <v>92500</v>
      </c>
      <c r="T15" s="7">
        <v>14</v>
      </c>
      <c r="U15" s="21">
        <f t="shared" si="2"/>
        <v>8.3648347229727524E-5</v>
      </c>
      <c r="V15" s="22">
        <f t="shared" si="3"/>
        <v>1.9636027707798634E-5</v>
      </c>
      <c r="X15" s="12">
        <v>1</v>
      </c>
      <c r="Y15" s="7">
        <v>80</v>
      </c>
      <c r="Z15" s="7">
        <v>6</v>
      </c>
      <c r="AA15" s="44">
        <v>11.853417362933506</v>
      </c>
      <c r="AB15" s="9">
        <f t="shared" si="4"/>
        <v>67491.085102736528</v>
      </c>
      <c r="AC15" s="7">
        <v>14</v>
      </c>
      <c r="AD15" s="21">
        <f t="shared" si="5"/>
        <v>5.0860692310127006E-3</v>
      </c>
      <c r="AE15" s="41">
        <f t="shared" si="6"/>
        <v>9.2251719216397687E-4</v>
      </c>
      <c r="AG15" s="12">
        <v>7</v>
      </c>
      <c r="AH15" s="7">
        <v>10</v>
      </c>
      <c r="AI15" s="7">
        <v>1</v>
      </c>
      <c r="AJ15" s="44">
        <v>2.2707710394359224</v>
      </c>
      <c r="AK15" s="9">
        <f t="shared" si="7"/>
        <v>44037.90530323163</v>
      </c>
      <c r="AL15" s="7">
        <v>14</v>
      </c>
      <c r="AM15" s="21">
        <f t="shared" si="8"/>
        <v>5.0860692310127006E-3</v>
      </c>
      <c r="AN15" s="41">
        <f t="shared" si="9"/>
        <v>9.2251719216397687E-4</v>
      </c>
    </row>
    <row r="16" spans="1:40" x14ac:dyDescent="0.3">
      <c r="A16" s="12">
        <v>15</v>
      </c>
      <c r="B16" s="7">
        <v>20</v>
      </c>
      <c r="C16" s="7">
        <v>2</v>
      </c>
      <c r="D16" s="7">
        <v>0</v>
      </c>
      <c r="E16" s="7">
        <f t="shared" si="10"/>
        <v>2</v>
      </c>
      <c r="F16" s="8">
        <f t="shared" si="11"/>
        <v>2.3545110177076873</v>
      </c>
      <c r="G16" s="8">
        <f t="shared" si="12"/>
        <v>4.3545110177076873</v>
      </c>
      <c r="H16" s="9">
        <f t="shared" si="13"/>
        <v>45929.382010218105</v>
      </c>
      <c r="I16" s="9">
        <f t="shared" si="0"/>
        <v>0</v>
      </c>
      <c r="J16" s="17">
        <f t="shared" si="14"/>
        <v>0</v>
      </c>
      <c r="K16" s="2"/>
      <c r="L16" s="39">
        <f t="shared" si="15"/>
        <v>2.3545110177076875E-2</v>
      </c>
      <c r="M16" s="48">
        <v>0</v>
      </c>
      <c r="O16" s="12">
        <v>11</v>
      </c>
      <c r="P16" s="7">
        <v>17</v>
      </c>
      <c r="Q16" s="7">
        <v>1</v>
      </c>
      <c r="R16" s="7">
        <v>1</v>
      </c>
      <c r="S16" s="9">
        <f t="shared" si="1"/>
        <v>85000</v>
      </c>
      <c r="T16" s="7">
        <v>15</v>
      </c>
      <c r="U16" s="21">
        <f t="shared" si="2"/>
        <v>1.8664469113520571E-5</v>
      </c>
      <c r="V16" s="22">
        <f t="shared" si="3"/>
        <v>4.3813900071201152E-6</v>
      </c>
      <c r="X16" s="12">
        <v>14</v>
      </c>
      <c r="Y16" s="7">
        <v>100</v>
      </c>
      <c r="Z16" s="7">
        <v>15</v>
      </c>
      <c r="AA16" s="44">
        <v>15.000000357516095</v>
      </c>
      <c r="AB16" s="9">
        <f t="shared" si="4"/>
        <v>66666.66507770629</v>
      </c>
      <c r="AC16" s="7">
        <v>15</v>
      </c>
      <c r="AD16" s="21">
        <f t="shared" si="5"/>
        <v>2.1874911181828851E-3</v>
      </c>
      <c r="AE16" s="41">
        <f t="shared" si="6"/>
        <v>3.9676970024804482E-4</v>
      </c>
      <c r="AG16" s="12">
        <v>9</v>
      </c>
      <c r="AH16" s="7">
        <v>70</v>
      </c>
      <c r="AI16" s="7">
        <v>4</v>
      </c>
      <c r="AJ16" s="44">
        <v>17.323553057371583</v>
      </c>
      <c r="AK16" s="9">
        <f t="shared" si="7"/>
        <v>40407.415134860763</v>
      </c>
      <c r="AL16" s="7">
        <v>15</v>
      </c>
      <c r="AM16" s="21">
        <f t="shared" si="8"/>
        <v>2.1874911181828851E-3</v>
      </c>
      <c r="AN16" s="41">
        <f t="shared" si="9"/>
        <v>3.9676970024804482E-4</v>
      </c>
    </row>
    <row r="17" spans="1:40" x14ac:dyDescent="0.3">
      <c r="A17" s="12">
        <v>16</v>
      </c>
      <c r="B17" s="7">
        <v>41</v>
      </c>
      <c r="C17" s="7">
        <v>3</v>
      </c>
      <c r="D17" s="7">
        <v>0</v>
      </c>
      <c r="E17" s="7">
        <f t="shared" si="10"/>
        <v>3</v>
      </c>
      <c r="F17" s="8">
        <f t="shared" si="11"/>
        <v>3.6110794831620399</v>
      </c>
      <c r="G17" s="8">
        <f t="shared" si="12"/>
        <v>6.6110794831620403</v>
      </c>
      <c r="H17" s="9">
        <f t="shared" si="13"/>
        <v>62017.103416203281</v>
      </c>
      <c r="I17" s="9">
        <f t="shared" si="0"/>
        <v>0</v>
      </c>
      <c r="J17" s="17">
        <f t="shared" si="14"/>
        <v>0</v>
      </c>
      <c r="K17" s="2"/>
      <c r="L17" s="39">
        <f t="shared" si="15"/>
        <v>3.6110794831620399E-2</v>
      </c>
      <c r="M17" s="48">
        <v>5</v>
      </c>
      <c r="O17" s="12">
        <v>10</v>
      </c>
      <c r="P17" s="7">
        <v>90</v>
      </c>
      <c r="Q17" s="7">
        <v>10</v>
      </c>
      <c r="R17" s="7">
        <v>1</v>
      </c>
      <c r="S17" s="9">
        <f t="shared" si="1"/>
        <v>81818.181818181823</v>
      </c>
      <c r="T17" s="7">
        <v>16</v>
      </c>
      <c r="U17" s="21">
        <f t="shared" si="2"/>
        <v>3.7266531720786709E-6</v>
      </c>
      <c r="V17" s="22">
        <f t="shared" si="3"/>
        <v>8.7481304015874726E-7</v>
      </c>
      <c r="X17" s="12">
        <v>19</v>
      </c>
      <c r="Y17" s="7">
        <v>47</v>
      </c>
      <c r="Z17" s="7">
        <v>3</v>
      </c>
      <c r="AA17" s="44">
        <v>12.650653712553922</v>
      </c>
      <c r="AB17" s="9">
        <f t="shared" si="4"/>
        <v>37152.23028621784</v>
      </c>
      <c r="AC17" s="7">
        <v>16</v>
      </c>
      <c r="AD17" s="21">
        <f t="shared" si="5"/>
        <v>8.8382630693504996E-4</v>
      </c>
      <c r="AE17" s="41">
        <f t="shared" si="6"/>
        <v>1.6030945038316634E-4</v>
      </c>
      <c r="AG17" s="12">
        <v>13</v>
      </c>
      <c r="AH17" s="7">
        <v>73</v>
      </c>
      <c r="AI17" s="7">
        <v>4</v>
      </c>
      <c r="AJ17" s="44">
        <v>18.084697462864426</v>
      </c>
      <c r="AK17" s="9">
        <f t="shared" si="7"/>
        <v>40365.618584386073</v>
      </c>
      <c r="AL17" s="7">
        <v>16</v>
      </c>
      <c r="AM17" s="21">
        <f t="shared" si="8"/>
        <v>8.8382630693504996E-4</v>
      </c>
      <c r="AN17" s="41">
        <f t="shared" si="9"/>
        <v>1.6030945038316634E-4</v>
      </c>
    </row>
    <row r="18" spans="1:40" x14ac:dyDescent="0.3">
      <c r="A18" s="12">
        <v>17</v>
      </c>
      <c r="B18" s="7">
        <v>79</v>
      </c>
      <c r="C18" s="7">
        <v>5</v>
      </c>
      <c r="D18" s="7">
        <v>0</v>
      </c>
      <c r="E18" s="7">
        <f t="shared" si="10"/>
        <v>5</v>
      </c>
      <c r="F18" s="8">
        <f t="shared" si="11"/>
        <v>9.4829674796591803</v>
      </c>
      <c r="G18" s="8">
        <f t="shared" si="12"/>
        <v>14.48296747965918</v>
      </c>
      <c r="H18" s="9">
        <f t="shared" si="13"/>
        <v>54546.832416045072</v>
      </c>
      <c r="I18" s="9">
        <f t="shared" si="0"/>
        <v>0</v>
      </c>
      <c r="J18" s="17">
        <f t="shared" si="14"/>
        <v>0</v>
      </c>
      <c r="K18" s="2"/>
      <c r="L18" s="39">
        <f t="shared" si="15"/>
        <v>9.4829674796591809E-2</v>
      </c>
      <c r="M18" s="49">
        <v>10</v>
      </c>
      <c r="O18" s="12">
        <v>18</v>
      </c>
      <c r="P18" s="7">
        <v>23</v>
      </c>
      <c r="Q18" s="7">
        <v>2</v>
      </c>
      <c r="R18" s="7">
        <v>1</v>
      </c>
      <c r="S18" s="9">
        <f t="shared" si="1"/>
        <v>76666.666666666672</v>
      </c>
      <c r="T18" s="7">
        <v>17</v>
      </c>
      <c r="U18" s="21">
        <f t="shared" si="2"/>
        <v>6.658361469857315E-7</v>
      </c>
      <c r="V18" s="22">
        <f t="shared" si="3"/>
        <v>1.5630167796572133E-7</v>
      </c>
      <c r="X18" s="12">
        <v>17</v>
      </c>
      <c r="Y18" s="7">
        <v>79</v>
      </c>
      <c r="Z18" s="7">
        <v>5</v>
      </c>
      <c r="AA18" s="44">
        <v>23.79690675437196</v>
      </c>
      <c r="AB18" s="9">
        <f t="shared" si="4"/>
        <v>33197.591945636443</v>
      </c>
      <c r="AC18" s="7">
        <v>17</v>
      </c>
      <c r="AD18" s="21">
        <f t="shared" si="5"/>
        <v>3.3546262790251185E-4</v>
      </c>
      <c r="AE18" s="41">
        <f t="shared" si="6"/>
        <v>6.0846604226611128E-5</v>
      </c>
      <c r="AG18" s="12">
        <v>18</v>
      </c>
      <c r="AH18" s="7">
        <v>23</v>
      </c>
      <c r="AI18" s="7">
        <v>2</v>
      </c>
      <c r="AJ18" s="44">
        <v>5.8602708631222473</v>
      </c>
      <c r="AK18" s="9">
        <f t="shared" si="7"/>
        <v>39247.332652719764</v>
      </c>
      <c r="AL18" s="7">
        <v>17</v>
      </c>
      <c r="AM18" s="21">
        <f t="shared" si="8"/>
        <v>3.3546262790251185E-4</v>
      </c>
      <c r="AN18" s="41">
        <f t="shared" si="9"/>
        <v>6.0846604226611128E-5</v>
      </c>
    </row>
    <row r="19" spans="1:40" x14ac:dyDescent="0.3">
      <c r="A19" s="12">
        <v>18</v>
      </c>
      <c r="B19" s="7">
        <v>23</v>
      </c>
      <c r="C19" s="7">
        <v>2</v>
      </c>
      <c r="D19" s="7">
        <v>0</v>
      </c>
      <c r="E19" s="7">
        <f t="shared" si="10"/>
        <v>2</v>
      </c>
      <c r="F19" s="8">
        <f t="shared" si="11"/>
        <v>3.3016219836884644</v>
      </c>
      <c r="G19" s="8">
        <f t="shared" si="12"/>
        <v>5.3016219836884648</v>
      </c>
      <c r="H19" s="9">
        <f t="shared" si="13"/>
        <v>43382.949728902306</v>
      </c>
      <c r="I19" s="9">
        <f t="shared" si="0"/>
        <v>0</v>
      </c>
      <c r="J19" s="17">
        <f t="shared" si="14"/>
        <v>0</v>
      </c>
      <c r="K19" s="2"/>
      <c r="L19" s="39">
        <f t="shared" si="15"/>
        <v>3.3016219836884644E-2</v>
      </c>
      <c r="M19" s="48">
        <v>5</v>
      </c>
      <c r="O19" s="12">
        <v>15</v>
      </c>
      <c r="P19" s="7">
        <v>20</v>
      </c>
      <c r="Q19" s="7">
        <v>2</v>
      </c>
      <c r="R19" s="7">
        <v>1</v>
      </c>
      <c r="S19" s="9">
        <f t="shared" si="1"/>
        <v>66666.666666666672</v>
      </c>
      <c r="T19" s="7">
        <v>18</v>
      </c>
      <c r="U19" s="21">
        <f t="shared" si="2"/>
        <v>1.0645371411076024E-7</v>
      </c>
      <c r="V19" s="22">
        <f t="shared" si="3"/>
        <v>2.4989472584989552E-8</v>
      </c>
      <c r="X19" s="12">
        <v>5</v>
      </c>
      <c r="Y19" s="7">
        <v>60</v>
      </c>
      <c r="Z19" s="7">
        <v>4</v>
      </c>
      <c r="AA19" s="44">
        <v>18.238001388166161</v>
      </c>
      <c r="AB19" s="9">
        <f t="shared" si="4"/>
        <v>32898.341612656841</v>
      </c>
      <c r="AC19" s="7">
        <v>18</v>
      </c>
      <c r="AD19" s="21">
        <f t="shared" si="5"/>
        <v>1.1961288358102437E-4</v>
      </c>
      <c r="AE19" s="41">
        <f t="shared" si="6"/>
        <v>2.1695524873111525E-5</v>
      </c>
      <c r="AG19" s="12">
        <v>8</v>
      </c>
      <c r="AH19" s="7">
        <v>37</v>
      </c>
      <c r="AI19" s="7">
        <v>3</v>
      </c>
      <c r="AJ19" s="44">
        <v>10.519940863411252</v>
      </c>
      <c r="AK19" s="9">
        <f t="shared" si="7"/>
        <v>35171.300371742</v>
      </c>
      <c r="AL19" s="7">
        <v>18</v>
      </c>
      <c r="AM19" s="21">
        <f t="shared" si="8"/>
        <v>1.1961288358102437E-4</v>
      </c>
      <c r="AN19" s="41">
        <f t="shared" si="9"/>
        <v>2.1695524873111525E-5</v>
      </c>
    </row>
    <row r="20" spans="1:40" x14ac:dyDescent="0.3">
      <c r="A20" s="12">
        <v>19</v>
      </c>
      <c r="B20" s="7">
        <v>47</v>
      </c>
      <c r="C20" s="7">
        <v>3</v>
      </c>
      <c r="D20" s="7">
        <v>0</v>
      </c>
      <c r="E20" s="7">
        <f t="shared" si="10"/>
        <v>3</v>
      </c>
      <c r="F20" s="8">
        <f t="shared" si="11"/>
        <v>5.1187480766655744</v>
      </c>
      <c r="G20" s="8">
        <f t="shared" si="12"/>
        <v>8.1187480766655753</v>
      </c>
      <c r="H20" s="9">
        <f t="shared" si="13"/>
        <v>57890.698856741983</v>
      </c>
      <c r="I20" s="9">
        <f t="shared" si="0"/>
        <v>0</v>
      </c>
      <c r="J20" s="17">
        <f t="shared" si="14"/>
        <v>0</v>
      </c>
      <c r="K20" s="2"/>
      <c r="L20" s="39">
        <f t="shared" si="15"/>
        <v>5.1187480766655746E-2</v>
      </c>
      <c r="M20" s="48">
        <v>5</v>
      </c>
      <c r="O20" s="12">
        <v>14</v>
      </c>
      <c r="P20" s="7">
        <v>100</v>
      </c>
      <c r="Q20" s="7">
        <v>15</v>
      </c>
      <c r="R20" s="7">
        <v>1</v>
      </c>
      <c r="S20" s="9">
        <f t="shared" si="1"/>
        <v>62500</v>
      </c>
      <c r="T20" s="7">
        <v>19</v>
      </c>
      <c r="U20" s="21">
        <f t="shared" si="2"/>
        <v>1.5229979744712629E-8</v>
      </c>
      <c r="V20" s="22">
        <f t="shared" si="3"/>
        <v>3.5751609465166872E-9</v>
      </c>
      <c r="X20" s="12">
        <v>9</v>
      </c>
      <c r="Y20" s="7">
        <v>70</v>
      </c>
      <c r="Z20" s="7">
        <v>4</v>
      </c>
      <c r="AA20" s="44">
        <v>26.205921523941907</v>
      </c>
      <c r="AB20" s="9">
        <f t="shared" si="4"/>
        <v>26711.520118095264</v>
      </c>
      <c r="AC20" s="7">
        <v>19</v>
      </c>
      <c r="AD20" s="21">
        <f t="shared" si="5"/>
        <v>4.0065297392951069E-5</v>
      </c>
      <c r="AE20" s="41">
        <f t="shared" si="6"/>
        <v>7.267090551734494E-6</v>
      </c>
      <c r="AG20" s="12">
        <v>12</v>
      </c>
      <c r="AH20" s="7">
        <v>40</v>
      </c>
      <c r="AI20" s="7">
        <v>3</v>
      </c>
      <c r="AJ20" s="44">
        <v>11.936818925086056</v>
      </c>
      <c r="AK20" s="9">
        <f t="shared" si="7"/>
        <v>33509.765249045719</v>
      </c>
      <c r="AL20" s="7">
        <v>19</v>
      </c>
      <c r="AM20" s="21">
        <f t="shared" si="8"/>
        <v>4.0065297392951069E-5</v>
      </c>
      <c r="AN20" s="41">
        <f t="shared" si="9"/>
        <v>7.267090551734494E-6</v>
      </c>
    </row>
    <row r="21" spans="1:40" ht="15" thickBot="1" x14ac:dyDescent="0.35">
      <c r="A21" s="13">
        <v>20</v>
      </c>
      <c r="B21" s="14">
        <v>30</v>
      </c>
      <c r="C21" s="14">
        <v>2</v>
      </c>
      <c r="D21" s="14">
        <v>0</v>
      </c>
      <c r="E21" s="14">
        <f t="shared" si="10"/>
        <v>2</v>
      </c>
      <c r="F21" s="15">
        <f t="shared" si="11"/>
        <v>3.4888219834086756</v>
      </c>
      <c r="G21" s="15">
        <f t="shared" si="12"/>
        <v>5.4888219834086751</v>
      </c>
      <c r="H21" s="16">
        <f t="shared" si="13"/>
        <v>54656.536667945205</v>
      </c>
      <c r="I21" s="16">
        <f t="shared" si="0"/>
        <v>0</v>
      </c>
      <c r="J21" s="18">
        <f t="shared" si="14"/>
        <v>0</v>
      </c>
      <c r="K21" s="2"/>
      <c r="L21" s="51">
        <f t="shared" si="15"/>
        <v>3.4888219834086756E-2</v>
      </c>
      <c r="M21" s="50">
        <v>5</v>
      </c>
      <c r="O21" s="13">
        <v>7</v>
      </c>
      <c r="P21" s="14">
        <v>10</v>
      </c>
      <c r="Q21" s="14">
        <v>1</v>
      </c>
      <c r="R21" s="14">
        <v>1</v>
      </c>
      <c r="S21" s="16">
        <f t="shared" si="1"/>
        <v>50000</v>
      </c>
      <c r="T21" s="14">
        <v>20</v>
      </c>
      <c r="U21" s="23">
        <f t="shared" si="2"/>
        <v>1.9497677860172307E-9</v>
      </c>
      <c r="V21" s="24">
        <f t="shared" si="3"/>
        <v>4.5769815588659124E-10</v>
      </c>
      <c r="X21" s="13">
        <v>13</v>
      </c>
      <c r="Y21" s="14">
        <v>73</v>
      </c>
      <c r="Z21" s="14">
        <v>4</v>
      </c>
      <c r="AA21" s="45">
        <v>27.474495740927502</v>
      </c>
      <c r="AB21" s="16">
        <f t="shared" si="4"/>
        <v>26570.09638624786</v>
      </c>
      <c r="AC21" s="14">
        <v>20</v>
      </c>
      <c r="AD21" s="23">
        <f t="shared" si="5"/>
        <v>1.2607105177048523E-5</v>
      </c>
      <c r="AE21" s="42">
        <f t="shared" si="6"/>
        <v>2.2866914980885949E-6</v>
      </c>
      <c r="AG21" s="13">
        <v>11</v>
      </c>
      <c r="AH21" s="14">
        <v>17</v>
      </c>
      <c r="AI21" s="14">
        <v>1</v>
      </c>
      <c r="AJ21" s="45">
        <v>10.390061179771427</v>
      </c>
      <c r="AK21" s="16">
        <f t="shared" si="7"/>
        <v>16361.790085603698</v>
      </c>
      <c r="AL21" s="14">
        <v>20</v>
      </c>
      <c r="AM21" s="23">
        <f t="shared" si="8"/>
        <v>1.2607105177048523E-5</v>
      </c>
      <c r="AN21" s="42">
        <f t="shared" si="9"/>
        <v>2.2866914980885949E-6</v>
      </c>
    </row>
    <row r="22" spans="1:40" ht="15" thickBot="1" x14ac:dyDescent="0.35"/>
    <row r="23" spans="1:40" ht="15" thickBot="1" x14ac:dyDescent="0.35">
      <c r="E23" s="19" t="s">
        <v>9</v>
      </c>
      <c r="H23" s="19" t="s">
        <v>2</v>
      </c>
      <c r="J23" s="19" t="s">
        <v>9</v>
      </c>
      <c r="L23" s="52">
        <f>SUM(L2:L21)</f>
        <v>1.0000000000000002</v>
      </c>
      <c r="M23" s="53">
        <f>SUM(M2:M21)</f>
        <v>100</v>
      </c>
      <c r="T23" s="19" t="s">
        <v>16</v>
      </c>
      <c r="U23" s="19" t="s">
        <v>18</v>
      </c>
      <c r="V23" s="19" t="s">
        <v>20</v>
      </c>
      <c r="AC23" s="19" t="s">
        <v>16</v>
      </c>
      <c r="AD23" s="19" t="s">
        <v>18</v>
      </c>
      <c r="AE23" s="19" t="s">
        <v>20</v>
      </c>
      <c r="AL23" s="19" t="s">
        <v>16</v>
      </c>
      <c r="AM23" s="19" t="s">
        <v>18</v>
      </c>
      <c r="AN23" s="19" t="s">
        <v>20</v>
      </c>
    </row>
    <row r="24" spans="1:40" ht="15" thickBot="1" x14ac:dyDescent="0.35">
      <c r="E24" s="19">
        <f>SUM(E2:E21)</f>
        <v>91</v>
      </c>
      <c r="H24" s="20">
        <v>10000</v>
      </c>
      <c r="J24" s="20">
        <f>SUM(J2:J21)</f>
        <v>87585.730721526299</v>
      </c>
      <c r="K24" s="2"/>
      <c r="T24" s="19">
        <v>3</v>
      </c>
      <c r="U24" s="25">
        <f>SUM(U2:U21)</f>
        <v>4.2599424116979518</v>
      </c>
      <c r="V24" s="37">
        <f>1-AE24-AN24</f>
        <v>0.49999999999999994</v>
      </c>
      <c r="AC24" s="19">
        <v>4</v>
      </c>
      <c r="AD24" s="25">
        <f>SUM(AD2:AD21)</f>
        <v>5.5132514322927166</v>
      </c>
      <c r="AE24" s="37">
        <v>0.3</v>
      </c>
      <c r="AL24" s="19">
        <v>4</v>
      </c>
      <c r="AM24" s="25">
        <f>SUM(AM2:AM21)</f>
        <v>5.5132514322927166</v>
      </c>
      <c r="AN24" s="37">
        <v>0.2</v>
      </c>
    </row>
    <row r="25" spans="1:40" ht="15" thickBot="1" x14ac:dyDescent="0.35"/>
    <row r="26" spans="1:40" ht="15" thickBot="1" x14ac:dyDescent="0.35">
      <c r="E26" s="19" t="s">
        <v>10</v>
      </c>
      <c r="H26" s="19" t="s">
        <v>21</v>
      </c>
    </row>
    <row r="27" spans="1:40" ht="15" thickBot="1" x14ac:dyDescent="0.35">
      <c r="E27" s="20">
        <v>50000</v>
      </c>
      <c r="H27" s="19">
        <v>0</v>
      </c>
    </row>
    <row r="28" spans="1:40" ht="15" thickBot="1" x14ac:dyDescent="0.35"/>
    <row r="29" spans="1:40" ht="15" thickBot="1" x14ac:dyDescent="0.35">
      <c r="E29" s="19" t="s">
        <v>11</v>
      </c>
    </row>
    <row r="30" spans="1:40" ht="15" thickBot="1" x14ac:dyDescent="0.35">
      <c r="E30" s="20">
        <v>100000</v>
      </c>
    </row>
  </sheetData>
  <conditionalFormatting sqref="D2:D21">
    <cfRule type="cellIs" dxfId="1" priority="5" operator="greaterThan">
      <formula>0</formula>
    </cfRule>
  </conditionalFormatting>
  <conditionalFormatting sqref="R2:R21">
    <cfRule type="cellIs" dxfId="0" priority="4" operator="greaterThan">
      <formula>0</formula>
    </cfRule>
  </conditionalFormatting>
  <conditionalFormatting sqref="L2:L2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Interpret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Earley</dc:creator>
  <cp:lastModifiedBy>Ciaran Earley</cp:lastModifiedBy>
  <dcterms:created xsi:type="dcterms:W3CDTF">2025-04-18T07:27:22Z</dcterms:created>
  <dcterms:modified xsi:type="dcterms:W3CDTF">2025-04-19T09:20:27Z</dcterms:modified>
</cp:coreProperties>
</file>